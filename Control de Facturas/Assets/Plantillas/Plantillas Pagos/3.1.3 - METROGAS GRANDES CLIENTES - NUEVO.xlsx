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3EBFFC71-295F-4584-A575-1FF82A89D4F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3" l="1"/>
  <c r="E91" i="3"/>
  <c r="E82" i="3"/>
  <c r="E73" i="3"/>
  <c r="E64" i="3"/>
  <c r="E55" i="3"/>
  <c r="E46" i="3"/>
  <c r="E37" i="3"/>
  <c r="E28" i="3"/>
  <c r="E19" i="3"/>
  <c r="E10" i="3"/>
  <c r="E1" i="3"/>
  <c r="E100" i="2"/>
  <c r="E91" i="2"/>
  <c r="E82" i="2"/>
  <c r="E73" i="2"/>
  <c r="E64" i="2"/>
  <c r="E55" i="2"/>
  <c r="E46" i="2"/>
  <c r="E37" i="2"/>
  <c r="E28" i="2"/>
  <c r="E19" i="2"/>
  <c r="E10" i="2"/>
  <c r="E1" i="2"/>
  <c r="E100" i="1"/>
  <c r="E91" i="1"/>
  <c r="E82" i="1"/>
  <c r="E73" i="1"/>
  <c r="E64" i="1"/>
  <c r="E46" i="1"/>
  <c r="E37" i="1"/>
  <c r="E28" i="1"/>
  <c r="E19" i="1"/>
  <c r="E10" i="1"/>
  <c r="E1" i="1"/>
  <c r="E55" i="1"/>
</calcChain>
</file>

<file path=xl/sharedStrings.xml><?xml version="1.0" encoding="utf-8"?>
<sst xmlns="http://schemas.openxmlformats.org/spreadsheetml/2006/main" count="588" uniqueCount="269">
  <si>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</si>
  <si>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</si>
  <si>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</si>
  <si>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</si>
  <si>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</si>
  <si>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</si>
  <si>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</si>
  <si>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</si>
  <si>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</si>
  <si>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</si>
  <si>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</si>
  <si>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</si>
  <si>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N° CLIENTE </t>
  </si>
  <si>
    <t>N° FACTURA</t>
  </si>
  <si>
    <t>PER. DE CONSUMO</t>
  </si>
  <si>
    <t xml:space="preserve">VENCIMIENTO </t>
  </si>
  <si>
    <t>IMPORTE</t>
  </si>
  <si>
    <t>SIDIF</t>
  </si>
  <si>
    <t>FECHA</t>
  </si>
  <si>
    <t>0005-00070412</t>
  </si>
  <si>
    <t>05/12/2023-04/01/2024</t>
  </si>
  <si>
    <t>0005-00070800</t>
  </si>
  <si>
    <t>04/01/2024-05/02/2024</t>
  </si>
  <si>
    <t>0005-00071201</t>
  </si>
  <si>
    <t>05/02/2024-06/03/2024</t>
  </si>
  <si>
    <t>0005-00071577</t>
  </si>
  <si>
    <t>06/03/2024-05/04/2024</t>
  </si>
  <si>
    <t>0005-00071912</t>
  </si>
  <si>
    <t>05/04/2024-06/05/2024</t>
  </si>
  <si>
    <t>0005-00072291</t>
  </si>
  <si>
    <t>06/05/2024-05/06/2024</t>
  </si>
  <si>
    <t>0005-00070540</t>
  </si>
  <si>
    <t>11/12/2023-09/01/2024</t>
  </si>
  <si>
    <t>0005-00070920</t>
  </si>
  <si>
    <t>09/01/2024-08/02/2024</t>
  </si>
  <si>
    <t>0005-00071303</t>
  </si>
  <si>
    <t>08/02/2024-11/03/2024</t>
  </si>
  <si>
    <t>0005-00071579</t>
  </si>
  <si>
    <t>11/03/2024-10/04/2024</t>
  </si>
  <si>
    <t>0005-00072036</t>
  </si>
  <si>
    <t>10/04/2024-10/05/2024</t>
  </si>
  <si>
    <t>0005-00072357</t>
  </si>
  <si>
    <t>10/05/2024-10/06/2024</t>
  </si>
  <si>
    <t>0005-00070402</t>
  </si>
  <si>
    <t>0005-00070790</t>
  </si>
  <si>
    <t>0005-00071181</t>
  </si>
  <si>
    <t>0005-00071596</t>
  </si>
  <si>
    <t>0005-00071900</t>
  </si>
  <si>
    <t>0005-00072282</t>
  </si>
  <si>
    <t>0005-00070405</t>
  </si>
  <si>
    <t>0005-00070792</t>
  </si>
  <si>
    <t>0005-00071184</t>
  </si>
  <si>
    <t>0005-00071611</t>
  </si>
  <si>
    <t>0005-00071903</t>
  </si>
  <si>
    <t>0005-00072283</t>
  </si>
  <si>
    <t>0005-00070514</t>
  </si>
  <si>
    <t>07/12/2023-08/01/2024</t>
  </si>
  <si>
    <t>0005-00070879</t>
  </si>
  <si>
    <t>08/01/2024-07/02/2024</t>
  </si>
  <si>
    <t>0005-00071270</t>
  </si>
  <si>
    <t>07/02/2024-08/03/2024</t>
  </si>
  <si>
    <t>0005-00071629</t>
  </si>
  <si>
    <t>08/03/2024-09/04/2024</t>
  </si>
  <si>
    <t>0005-00071991</t>
  </si>
  <si>
    <t>09/04/2024-08/05/2024</t>
  </si>
  <si>
    <t>0005-00072390</t>
  </si>
  <si>
    <t>08/05/2024-07/06/2024</t>
  </si>
  <si>
    <t>0005-00070307</t>
  </si>
  <si>
    <t>27/11/2023-27/12/2023</t>
  </si>
  <si>
    <t>0005-00070708</t>
  </si>
  <si>
    <t>27/12/2023-26/01/2024</t>
  </si>
  <si>
    <t>0005-00071076</t>
  </si>
  <si>
    <t>26/01/2024-26/02/2024</t>
  </si>
  <si>
    <t>0005-00071453</t>
  </si>
  <si>
    <t>26/02/2024-25/03/2024</t>
  </si>
  <si>
    <t>0005-00071830</t>
  </si>
  <si>
    <t>25/03/2024-24/04/2024</t>
  </si>
  <si>
    <t>0005-00072214</t>
  </si>
  <si>
    <t>24/04/2024-01/06/2024</t>
  </si>
  <si>
    <t>0005-00072667</t>
  </si>
  <si>
    <t>0005-00072785</t>
  </si>
  <si>
    <t>0005-00072663</t>
  </si>
  <si>
    <t>0005-00072653</t>
  </si>
  <si>
    <t>0005-00072745</t>
  </si>
  <si>
    <t>0005-00072593</t>
  </si>
  <si>
    <t>05/06/2024-04/07/2024</t>
  </si>
  <si>
    <t>10/06/2024-10/07/2024</t>
  </si>
  <si>
    <t>07/06/2024-08/07/2024</t>
  </si>
  <si>
    <t>01/06/2024-01/07/2024</t>
  </si>
  <si>
    <t>0005-00073048</t>
  </si>
  <si>
    <t>04/07/2024-05/08/2024</t>
  </si>
  <si>
    <t>10/07/2024-08/08/2024</t>
  </si>
  <si>
    <t>0005-00072997</t>
  </si>
  <si>
    <t>0005-00073065</t>
  </si>
  <si>
    <t>0005-00073079</t>
  </si>
  <si>
    <t>0005-00073096</t>
  </si>
  <si>
    <t>08/07/2024-07/08/2024</t>
  </si>
  <si>
    <t>01/07/2024-01/08/2024</t>
  </si>
  <si>
    <t>0005-00072954</t>
  </si>
  <si>
    <t>0005-00073408</t>
  </si>
  <si>
    <t>05/08/2024-04/09/2024</t>
  </si>
  <si>
    <t>0005-00073419</t>
  </si>
  <si>
    <t>0005-00073427</t>
  </si>
  <si>
    <t>07/08/2024-06/09/2024</t>
  </si>
  <si>
    <t>0005-00073479</t>
  </si>
  <si>
    <t>0005-00073320</t>
  </si>
  <si>
    <t>01/08/2024-01/09/2024</t>
  </si>
  <si>
    <t>0005-00073519</t>
  </si>
  <si>
    <t>08/08/2024-09/09/2024</t>
  </si>
  <si>
    <t>0005-00073776</t>
  </si>
  <si>
    <t>04/09/2024-04/10/2024</t>
  </si>
  <si>
    <t>09/09/2024-09/10/2024</t>
  </si>
  <si>
    <t>0005-00073894</t>
  </si>
  <si>
    <t>0005-00073780</t>
  </si>
  <si>
    <t>0005-00073784</t>
  </si>
  <si>
    <t>0005-00073863</t>
  </si>
  <si>
    <t>06/09/2024-08/10/2024</t>
  </si>
  <si>
    <t>01/09/2024-30/09/2024</t>
  </si>
  <si>
    <t>0005-00073696</t>
  </si>
  <si>
    <t>0005-00074153</t>
  </si>
  <si>
    <t>04/10/2024-05/11/2024</t>
  </si>
  <si>
    <t>0005-00074162</t>
  </si>
  <si>
    <t>0005-00074169</t>
  </si>
  <si>
    <t>08/10/2024-07/11/2024</t>
  </si>
  <si>
    <t>0005-00074231</t>
  </si>
  <si>
    <t>0005-00074075</t>
  </si>
  <si>
    <t>30/09/2024-31/10/2024</t>
  </si>
  <si>
    <t>0005-00074276</t>
  </si>
  <si>
    <t>09/10/2024-08/11/2024</t>
  </si>
  <si>
    <t>0005-00074533</t>
  </si>
  <si>
    <t>05/11/2024-04/12/2024</t>
  </si>
  <si>
    <t>0005-00074543</t>
  </si>
  <si>
    <t>0005-00074549</t>
  </si>
  <si>
    <t>07/11/2024-06/12/2024</t>
  </si>
  <si>
    <t>0005-00074585</t>
  </si>
  <si>
    <t>0005-00074446</t>
  </si>
  <si>
    <t>31/10/2024-01/12/2024</t>
  </si>
  <si>
    <t>0005-00074630</t>
  </si>
  <si>
    <t>08/11/2024-09/12/2024</t>
  </si>
  <si>
    <t>0005-00074888</t>
  </si>
  <si>
    <t>04/12/2024-05/01/2025</t>
  </si>
  <si>
    <t>0005-00074901</t>
  </si>
  <si>
    <t>0005-00074876</t>
  </si>
  <si>
    <t>01/12/2024-31/12/2024</t>
  </si>
  <si>
    <t>0005-00074801</t>
  </si>
  <si>
    <t>0005-00074984</t>
  </si>
  <si>
    <t>09/12/2024-09/01/2025</t>
  </si>
  <si>
    <t>0005-00074994</t>
  </si>
  <si>
    <t>06/12/2024-07/01/2025</t>
  </si>
  <si>
    <t>0005-00075266</t>
  </si>
  <si>
    <t>0005-00075369</t>
  </si>
  <si>
    <t>0005-00075253</t>
  </si>
  <si>
    <t>05/01/2025-05/02/2025</t>
  </si>
  <si>
    <t>09/01/2025-10/02/2025</t>
  </si>
  <si>
    <t>0005-00075256</t>
  </si>
  <si>
    <t>0005-00075360</t>
  </si>
  <si>
    <t>07/01/2025-07/02/2025</t>
  </si>
  <si>
    <t>31/12/2024-31/01/2025</t>
  </si>
  <si>
    <t>0005-00075167</t>
  </si>
  <si>
    <t>0005-00075629</t>
  </si>
  <si>
    <t>05/02/2025-07/03/2025</t>
  </si>
  <si>
    <t>0005-00075756</t>
  </si>
  <si>
    <t>10/02/2025-12/03/2025</t>
  </si>
  <si>
    <t>0005-00075640</t>
  </si>
  <si>
    <t>0005-00075650</t>
  </si>
  <si>
    <t>0005-00075729</t>
  </si>
  <si>
    <t>07/02/2025-11/03/2025</t>
  </si>
  <si>
    <t>0005-00075569</t>
  </si>
  <si>
    <t>31/01/2025-01/03/2025</t>
  </si>
  <si>
    <t>0005-00075956</t>
  </si>
  <si>
    <t>0005-00076106</t>
  </si>
  <si>
    <t>0005-00075963</t>
  </si>
  <si>
    <t>0005-00075972</t>
  </si>
  <si>
    <t>0005-00076076</t>
  </si>
  <si>
    <t>0005-00075923</t>
  </si>
  <si>
    <t>07/03/2025-07/04/2025</t>
  </si>
  <si>
    <t>12/03/2025-10/04/2025</t>
  </si>
  <si>
    <t>11/03/2025-09/04/2025</t>
  </si>
  <si>
    <t>01/03/2025-01/04/2025</t>
  </si>
  <si>
    <t>0005-00076375</t>
  </si>
  <si>
    <t>07/04/2025-07/05/2025</t>
  </si>
  <si>
    <t>10/04/2025-12/05/2025</t>
  </si>
  <si>
    <t>0005-00076481</t>
  </si>
  <si>
    <t>0005-00076363</t>
  </si>
  <si>
    <t>0005-00076366</t>
  </si>
  <si>
    <t>0005-00076440</t>
  </si>
  <si>
    <t>09/04/2025-09/05/2025</t>
  </si>
  <si>
    <t>01/04/2025-30/04/2025</t>
  </si>
  <si>
    <t>0005-00076295</t>
  </si>
  <si>
    <t>0005-00076733</t>
  </si>
  <si>
    <t>07/05/2025-04/06/2025</t>
  </si>
  <si>
    <t>0005-00076830</t>
  </si>
  <si>
    <t>12/05/2025-09/06/2025</t>
  </si>
  <si>
    <t>0005-00076740</t>
  </si>
  <si>
    <t>0005-00076745</t>
  </si>
  <si>
    <t>0005-00076846</t>
  </si>
  <si>
    <t>09/05/2025-06/06/2025</t>
  </si>
  <si>
    <t>30/4/2025-01/06/2025</t>
  </si>
  <si>
    <t>0005-00076672</t>
  </si>
  <si>
    <t>0005-00077084</t>
  </si>
  <si>
    <t>04/06/2025-03/07/2025</t>
  </si>
  <si>
    <t>09/06/2025-08/07/2025</t>
  </si>
  <si>
    <t>0005-00077246</t>
  </si>
  <si>
    <t>0005-00077090</t>
  </si>
  <si>
    <t>0005-00077097</t>
  </si>
  <si>
    <t>0005-00077202</t>
  </si>
  <si>
    <t>06/06/2025-07/07/2025</t>
  </si>
  <si>
    <t>01/06/2025-30/06/2025</t>
  </si>
  <si>
    <t>0005-00077042</t>
  </si>
  <si>
    <t>0005-00077525</t>
  </si>
  <si>
    <t>03/07/2025-04/08/2025</t>
  </si>
  <si>
    <t>08/07/2025-07/08/2025</t>
  </si>
  <si>
    <t>0005-00077653</t>
  </si>
  <si>
    <t>0005-00077541</t>
  </si>
  <si>
    <t>0005-00077551</t>
  </si>
  <si>
    <t>0005-00077603</t>
  </si>
  <si>
    <t>07/07/2025-06/08/2025</t>
  </si>
  <si>
    <t>30/06/2025-31/07/2025</t>
  </si>
  <si>
    <t>0005-00077478</t>
  </si>
  <si>
    <t>0005-00077899</t>
  </si>
  <si>
    <t>04/08/2025-03/09/2025</t>
  </si>
  <si>
    <t>0005-00078082</t>
  </si>
  <si>
    <t>0005-00077912</t>
  </si>
  <si>
    <t>07/08/2025-08/09/2025</t>
  </si>
  <si>
    <t>0005-00077922</t>
  </si>
  <si>
    <t>0005-00078032</t>
  </si>
  <si>
    <t>06/08/2025-05/09/2025</t>
  </si>
  <si>
    <t>31/07/2025-31/08/2025</t>
  </si>
  <si>
    <t>0005-00077859</t>
  </si>
  <si>
    <t>0005-00078365</t>
  </si>
  <si>
    <t>03/09/2025-03/10/2025</t>
  </si>
  <si>
    <t>08/09/2025-08/10/2025</t>
  </si>
  <si>
    <t>0005-00078528</t>
  </si>
  <si>
    <t>0005-00078384</t>
  </si>
  <si>
    <t>0005-00078399</t>
  </si>
  <si>
    <t>0005-00078495</t>
  </si>
  <si>
    <t>05/09/2025-07/10/2025</t>
  </si>
  <si>
    <t>31/08/2025-30/09/2025</t>
  </si>
  <si>
    <t>0005-00078303</t>
  </si>
  <si>
    <t>0005-00078810</t>
  </si>
  <si>
    <t>03/10/2025-04/11/2025</t>
  </si>
  <si>
    <t>08/10/2025-07/11/2025</t>
  </si>
  <si>
    <t>0005-00078904</t>
  </si>
  <si>
    <t>0005-00078828</t>
  </si>
  <si>
    <t>0005-00078838</t>
  </si>
  <si>
    <t>0005-00078847</t>
  </si>
  <si>
    <t>07/10/2025-06/11/2025</t>
  </si>
  <si>
    <t>30/09/2025-31/10/2025</t>
  </si>
  <si>
    <t>0005-00078759</t>
  </si>
  <si>
    <t>0005-00079149</t>
  </si>
  <si>
    <t>04/11/2025-03/12/2025</t>
  </si>
  <si>
    <t>0005-00079303</t>
  </si>
  <si>
    <t>0005-00079160</t>
  </si>
  <si>
    <t>0005-00079169</t>
  </si>
  <si>
    <t>0005-00079288</t>
  </si>
  <si>
    <t>0005-00079115</t>
  </si>
  <si>
    <t>31/10/2025-28/11/2025</t>
  </si>
  <si>
    <t>06/11/2025-05/12/2025</t>
  </si>
  <si>
    <t>07/11/2025-0912/2025</t>
  </si>
  <si>
    <t>0005-00079610</t>
  </si>
  <si>
    <t>03/12/2025-04/01/2026</t>
  </si>
  <si>
    <t>09/12/2025-09/01/2026</t>
  </si>
  <si>
    <t>0005-00079728</t>
  </si>
  <si>
    <t>0005-00079625</t>
  </si>
  <si>
    <t>0005-00079601</t>
  </si>
  <si>
    <t>0005-00079699</t>
  </si>
  <si>
    <t>05/12/2025-06/01/2026</t>
  </si>
  <si>
    <t>28/11/202-31/12/2025</t>
  </si>
  <si>
    <t>0005-00079518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</si>
</sst>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9" x14ac:knownFonts="1">
    <font>
      <sz val="11"/>
      <color theme="1"/>
      <name val="Calibri"/>
      <family val="2"/>
      <scheme val="minor"/>
    </font>
    <font>
      <b/>
      <sz val="8"/>
      <name val="Arial Black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i/>
      <sz val="8"/>
      <color indexed="8"/>
      <name val="Arial Black"/>
      <family val="2"/>
    </font>
    <font>
      <b/>
      <sz val="8"/>
      <color indexed="8"/>
      <name val="Arial Black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indexed="9"/>
        <bgColor indexed="8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80">
    <xf numFmtId="0" fontId="0" fillId="0" borderId="0" xfId="0"/>
    <xf numFmtId="0" fontId="2" fillId="0" borderId="0" xfId="0" applyFont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1" fontId="4" fillId="3" borderId="8" xfId="1" applyNumberFormat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horizontal="center" vertical="center"/>
    </xf>
    <xf numFmtId="1" fontId="4" fillId="3" borderId="9" xfId="1" applyNumberFormat="1" applyFont="1" applyFill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49" fontId="6" fillId="0" borderId="10" xfId="3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0" fontId="6" fillId="0" borderId="13" xfId="3" applyFont="1" applyBorder="1" applyAlignment="1">
      <alignment horizontal="center" vertical="center" wrapText="1"/>
    </xf>
    <xf numFmtId="49" fontId="6" fillId="0" borderId="14" xfId="3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4" fontId="7" fillId="0" borderId="15" xfId="0" applyNumberFormat="1" applyFont="1" applyBorder="1" applyAlignment="1">
      <alignment horizontal="center" vertical="center"/>
    </xf>
    <xf numFmtId="0" fontId="6" fillId="0" borderId="16" xfId="3" applyFont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 vertical="center"/>
    </xf>
    <xf numFmtId="0" fontId="6" fillId="0" borderId="17" xfId="3" applyFont="1" applyBorder="1" applyAlignment="1">
      <alignment horizontal="center" vertical="center" wrapText="1"/>
    </xf>
    <xf numFmtId="0" fontId="5" fillId="4" borderId="18" xfId="2" applyFont="1" applyFill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/>
    </xf>
    <xf numFmtId="14" fontId="6" fillId="0" borderId="18" xfId="3" applyNumberFormat="1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6" fillId="0" borderId="18" xfId="3" applyNumberFormat="1" applyFont="1" applyBorder="1" applyAlignment="1">
      <alignment horizontal="center" vertical="center" wrapText="1"/>
    </xf>
    <xf numFmtId="0" fontId="5" fillId="4" borderId="24" xfId="2" applyFont="1" applyFill="1" applyBorder="1" applyAlignment="1">
      <alignment horizontal="center" vertical="center" wrapText="1"/>
    </xf>
    <xf numFmtId="0" fontId="6" fillId="0" borderId="25" xfId="3" applyFont="1" applyBorder="1" applyAlignment="1">
      <alignment horizontal="center" vertical="center" wrapText="1"/>
    </xf>
    <xf numFmtId="0" fontId="6" fillId="0" borderId="24" xfId="3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4" fontId="7" fillId="0" borderId="26" xfId="0" applyNumberFormat="1" applyFont="1" applyBorder="1" applyAlignment="1">
      <alignment horizontal="center" vertical="center"/>
    </xf>
    <xf numFmtId="14" fontId="6" fillId="0" borderId="24" xfId="3" applyNumberFormat="1" applyFont="1" applyBorder="1" applyAlignment="1">
      <alignment horizontal="center" vertical="center" wrapText="1"/>
    </xf>
    <xf numFmtId="1" fontId="7" fillId="0" borderId="27" xfId="0" applyNumberFormat="1" applyFont="1" applyBorder="1" applyAlignment="1">
      <alignment horizontal="center" vertical="center"/>
    </xf>
    <xf numFmtId="14" fontId="7" fillId="0" borderId="28" xfId="0" applyNumberFormat="1" applyFont="1" applyBorder="1" applyAlignment="1">
      <alignment horizontal="center" vertical="center"/>
    </xf>
    <xf numFmtId="0" fontId="6" fillId="0" borderId="29" xfId="3" applyFont="1" applyBorder="1" applyAlignment="1">
      <alignment horizontal="center" vertical="center" wrapText="1"/>
    </xf>
    <xf numFmtId="1" fontId="8" fillId="0" borderId="24" xfId="0" applyNumberFormat="1" applyFont="1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/>
    </xf>
    <xf numFmtId="0" fontId="6" fillId="0" borderId="30" xfId="3" applyFont="1" applyBorder="1" applyAlignment="1">
      <alignment horizontal="center" vertical="center" wrapText="1"/>
    </xf>
    <xf numFmtId="49" fontId="6" fillId="0" borderId="24" xfId="3" applyNumberFormat="1" applyFont="1" applyBorder="1" applyAlignment="1">
      <alignment horizontal="center" vertical="center" wrapText="1"/>
    </xf>
    <xf numFmtId="1" fontId="8" fillId="0" borderId="27" xfId="0" applyNumberFormat="1" applyFont="1" applyBorder="1" applyAlignment="1">
      <alignment horizontal="center" vertical="center"/>
    </xf>
    <xf numFmtId="14" fontId="8" fillId="0" borderId="28" xfId="0" applyNumberFormat="1" applyFont="1" applyBorder="1" applyAlignment="1">
      <alignment horizontal="center" vertical="center"/>
    </xf>
    <xf numFmtId="0" fontId="4" fillId="3" borderId="31" xfId="1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 wrapText="1"/>
    </xf>
    <xf numFmtId="0" fontId="5" fillId="4" borderId="25" xfId="2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/>
    </xf>
    <xf numFmtId="0" fontId="4" fillId="3" borderId="36" xfId="1" applyFont="1" applyFill="1" applyBorder="1" applyAlignment="1">
      <alignment horizontal="center" vertical="center"/>
    </xf>
    <xf numFmtId="0" fontId="4" fillId="3" borderId="37" xfId="1" applyFont="1" applyFill="1" applyBorder="1" applyAlignment="1">
      <alignment horizontal="center" vertical="center"/>
    </xf>
    <xf numFmtId="0" fontId="4" fillId="3" borderId="38" xfId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49" fontId="1" fillId="2" borderId="34" xfId="0" applyNumberFormat="1" applyFont="1" applyFill="1" applyBorder="1" applyAlignment="1">
      <alignment horizontal="center" vertical="center"/>
    </xf>
    <xf numFmtId="49" fontId="1" fillId="2" borderId="32" xfId="0" applyNumberFormat="1" applyFont="1" applyFill="1" applyBorder="1" applyAlignment="1">
      <alignment horizontal="center" vertical="center"/>
    </xf>
    <xf numFmtId="49" fontId="1" fillId="2" borderId="3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_EDESUR T2" xfId="2" xr:uid="{00000000-0005-0000-0000-000001000000}"/>
    <cellStyle name="Normal_EDESUR T3" xfId="3" xr:uid="{00000000-0005-0000-0000-000002000000}"/>
    <cellStyle name="Normal_Hoja1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7"/>
  <sheetViews>
    <sheetView topLeftCell="A88" workbookViewId="0">
      <selection activeCell="K91" sqref="K91"/>
    </sheetView>
  </sheetViews>
  <sheetFormatPr baseColWidth="10" defaultRowHeight="15" x14ac:dyDescent="0.25"/>
  <cols>
    <col min="2" max="2" width="12.5703125" bestFit="1" customWidth="1"/>
    <col min="3" max="3" width="18.42578125" bestFit="1" customWidth="1"/>
    <col min="4" max="4" width="14.5703125" bestFit="1" customWidth="1"/>
    <col min="5" max="5" width="12.140625" bestFit="1" customWidth="1"/>
  </cols>
  <sheetData>
    <row r="1" spans="1:78" ht="15.75" thickBot="1" x14ac:dyDescent="0.3">
      <c r="A1" s="72" t="s">
        <v>0</v>
      </c>
      <c r="B1" s="72"/>
      <c r="C1" s="72"/>
      <c r="D1" s="73"/>
      <c r="E1" s="77">
        <f>SUM(E3:E8)</f>
        <v>2029440.89</v>
      </c>
      <c r="F1" s="78"/>
      <c r="G1" s="79"/>
      <c r="H1" s="1"/>
      <c r="O1" s="1"/>
      <c r="V1" s="1"/>
      <c r="AC1" s="1"/>
      <c r="AJ1" s="1"/>
      <c r="AQ1" s="1"/>
      <c r="AX1" s="1"/>
      <c r="BE1" s="1"/>
      <c r="BL1" s="1"/>
      <c r="BS1" s="1"/>
      <c r="BZ1" s="1"/>
    </row>
    <row r="2" spans="1:78" ht="15.75" thickBot="1" x14ac:dyDescent="0.3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5" t="s">
        <v>18</v>
      </c>
      <c r="H2" s="1"/>
      <c r="O2" s="1"/>
      <c r="V2" s="1"/>
      <c r="AC2" s="1"/>
      <c r="AJ2" s="1"/>
      <c r="AQ2" s="1"/>
      <c r="AX2" s="1"/>
      <c r="BE2" s="1"/>
      <c r="BL2" s="1"/>
      <c r="BS2" s="1"/>
      <c r="BZ2" s="1"/>
    </row>
    <row r="3" spans="1:78" x14ac:dyDescent="0.25">
      <c r="A3" s="9">
        <v>4174</v>
      </c>
      <c r="B3" s="10" t="s">
        <v>19</v>
      </c>
      <c r="C3" s="11" t="s">
        <v>20</v>
      </c>
      <c r="D3" s="12">
        <v>45310</v>
      </c>
      <c r="E3" s="13">
        <v>374727.38</v>
      </c>
      <c r="F3" s="14"/>
      <c r="G3" s="15"/>
      <c r="H3" s="1"/>
      <c r="O3" s="1"/>
      <c r="V3" s="1"/>
      <c r="AC3" s="1"/>
      <c r="AJ3" s="1"/>
      <c r="AQ3" s="1"/>
      <c r="AX3" s="1"/>
      <c r="BE3" s="1"/>
      <c r="BL3" s="1"/>
      <c r="BS3" s="1"/>
      <c r="BZ3" s="1"/>
    </row>
    <row r="4" spans="1:78" x14ac:dyDescent="0.25">
      <c r="A4" s="28">
        <v>4233417112</v>
      </c>
      <c r="B4" s="29" t="s">
        <v>31</v>
      </c>
      <c r="C4" s="30" t="s">
        <v>32</v>
      </c>
      <c r="D4" s="31">
        <v>45315</v>
      </c>
      <c r="E4" s="32">
        <v>230244.81</v>
      </c>
      <c r="F4" s="33"/>
      <c r="G4" s="34"/>
      <c r="H4" s="1"/>
      <c r="O4" s="1"/>
      <c r="V4" s="1"/>
      <c r="AC4" s="1"/>
      <c r="AJ4" s="1"/>
      <c r="AQ4" s="1"/>
      <c r="AX4" s="1"/>
      <c r="BE4" s="1"/>
      <c r="BL4" s="1"/>
      <c r="BS4" s="1"/>
      <c r="BZ4" s="1"/>
    </row>
    <row r="5" spans="1:78" x14ac:dyDescent="0.25">
      <c r="A5" s="28">
        <v>5174</v>
      </c>
      <c r="B5" s="29" t="s">
        <v>43</v>
      </c>
      <c r="C5" s="30" t="s">
        <v>20</v>
      </c>
      <c r="D5" s="31">
        <v>45309</v>
      </c>
      <c r="E5" s="32">
        <v>1877.62</v>
      </c>
      <c r="F5" s="33"/>
      <c r="G5" s="34"/>
      <c r="H5" s="1"/>
      <c r="O5" s="1"/>
      <c r="V5" s="1"/>
      <c r="AC5" s="1"/>
      <c r="AJ5" s="1"/>
      <c r="AQ5" s="1"/>
      <c r="AX5" s="1"/>
      <c r="BE5" s="1"/>
      <c r="BL5" s="1"/>
      <c r="BS5" s="1"/>
      <c r="BZ5" s="1"/>
    </row>
    <row r="6" spans="1:78" x14ac:dyDescent="0.25">
      <c r="A6" s="28">
        <v>6174</v>
      </c>
      <c r="B6" s="29" t="s">
        <v>49</v>
      </c>
      <c r="C6" s="42" t="s">
        <v>20</v>
      </c>
      <c r="D6" s="31">
        <v>45309</v>
      </c>
      <c r="E6" s="32">
        <v>86263.12</v>
      </c>
      <c r="F6" s="33"/>
      <c r="G6" s="34"/>
      <c r="H6" s="1"/>
      <c r="O6" s="1"/>
      <c r="V6" s="1"/>
      <c r="AC6" s="1"/>
      <c r="AJ6" s="1"/>
      <c r="AQ6" s="1"/>
      <c r="AX6" s="1"/>
      <c r="BE6" s="1"/>
      <c r="BL6" s="1"/>
      <c r="BS6" s="1"/>
      <c r="BZ6" s="1"/>
    </row>
    <row r="7" spans="1:78" x14ac:dyDescent="0.25">
      <c r="A7" s="28">
        <v>7174</v>
      </c>
      <c r="B7" s="29" t="s">
        <v>55</v>
      </c>
      <c r="C7" s="35" t="s">
        <v>56</v>
      </c>
      <c r="D7" s="31">
        <v>45314</v>
      </c>
      <c r="E7" s="32">
        <v>12630.28</v>
      </c>
      <c r="F7" s="33"/>
      <c r="G7" s="34"/>
      <c r="H7" s="1"/>
      <c r="O7" s="1"/>
      <c r="V7" s="1"/>
      <c r="AC7" s="1"/>
      <c r="AJ7" s="1"/>
      <c r="AQ7" s="1"/>
      <c r="AX7" s="1"/>
      <c r="BE7" s="1"/>
      <c r="BL7" s="1"/>
      <c r="BS7" s="1"/>
      <c r="BZ7" s="1"/>
    </row>
    <row r="8" spans="1:78" ht="15.75" thickBot="1" x14ac:dyDescent="0.3">
      <c r="A8" s="43">
        <v>8174</v>
      </c>
      <c r="B8" s="44" t="s">
        <v>67</v>
      </c>
      <c r="C8" s="45" t="s">
        <v>68</v>
      </c>
      <c r="D8" s="46">
        <v>45302</v>
      </c>
      <c r="E8" s="47">
        <v>1323697.68</v>
      </c>
      <c r="F8" s="48"/>
      <c r="G8" s="49"/>
      <c r="H8" s="1"/>
      <c r="O8" s="1"/>
      <c r="V8" s="1"/>
      <c r="AC8" s="1"/>
      <c r="AJ8" s="1"/>
      <c r="AQ8" s="1"/>
      <c r="AX8" s="1"/>
      <c r="BE8" s="1"/>
      <c r="BL8" s="1"/>
      <c r="BS8" s="1"/>
      <c r="BZ8" s="1"/>
    </row>
    <row r="9" spans="1:78" ht="15.75" thickBot="1" x14ac:dyDescent="0.3"/>
    <row r="10" spans="1:78" ht="15.75" thickBot="1" x14ac:dyDescent="0.3">
      <c r="A10" s="72" t="s">
        <v>1</v>
      </c>
      <c r="B10" s="72"/>
      <c r="C10" s="72"/>
      <c r="D10" s="73"/>
      <c r="E10" s="77">
        <f>SUM(E12:E17)</f>
        <v>1827141.3399999999</v>
      </c>
      <c r="F10" s="78"/>
      <c r="G10" s="79"/>
    </row>
    <row r="11" spans="1:78" ht="15.75" thickBot="1" x14ac:dyDescent="0.3">
      <c r="A11" s="2" t="s">
        <v>12</v>
      </c>
      <c r="B11" s="6" t="s">
        <v>13</v>
      </c>
      <c r="C11" s="6" t="s">
        <v>14</v>
      </c>
      <c r="D11" s="6" t="s">
        <v>15</v>
      </c>
      <c r="E11" s="7" t="s">
        <v>16</v>
      </c>
      <c r="F11" s="8" t="s">
        <v>17</v>
      </c>
      <c r="G11" s="8" t="s">
        <v>18</v>
      </c>
    </row>
    <row r="12" spans="1:78" x14ac:dyDescent="0.25">
      <c r="A12" s="9">
        <v>4174</v>
      </c>
      <c r="B12" s="16" t="s">
        <v>21</v>
      </c>
      <c r="C12" s="17" t="s">
        <v>22</v>
      </c>
      <c r="D12" s="18">
        <v>45342</v>
      </c>
      <c r="E12" s="19">
        <v>370763.57</v>
      </c>
      <c r="F12" s="20"/>
      <c r="G12" s="21"/>
    </row>
    <row r="13" spans="1:78" x14ac:dyDescent="0.25">
      <c r="A13" s="28">
        <v>4233417112</v>
      </c>
      <c r="B13" s="29" t="s">
        <v>33</v>
      </c>
      <c r="C13" s="35" t="s">
        <v>34</v>
      </c>
      <c r="D13" s="31">
        <v>45345</v>
      </c>
      <c r="E13" s="32">
        <v>215610.68</v>
      </c>
      <c r="F13" s="20"/>
      <c r="G13" s="21"/>
    </row>
    <row r="14" spans="1:78" x14ac:dyDescent="0.25">
      <c r="A14" s="28">
        <v>5174</v>
      </c>
      <c r="B14" s="29" t="s">
        <v>44</v>
      </c>
      <c r="C14" s="35" t="s">
        <v>22</v>
      </c>
      <c r="D14" s="31">
        <v>45341</v>
      </c>
      <c r="E14" s="32">
        <v>1880.44</v>
      </c>
      <c r="F14" s="20"/>
      <c r="G14" s="21"/>
    </row>
    <row r="15" spans="1:78" x14ac:dyDescent="0.25">
      <c r="A15" s="28">
        <v>6174</v>
      </c>
      <c r="B15" s="29" t="s">
        <v>50</v>
      </c>
      <c r="C15" s="42" t="s">
        <v>22</v>
      </c>
      <c r="D15" s="31">
        <v>45341</v>
      </c>
      <c r="E15" s="32">
        <v>81807.09</v>
      </c>
      <c r="F15" s="20"/>
      <c r="G15" s="21"/>
    </row>
    <row r="16" spans="1:78" x14ac:dyDescent="0.25">
      <c r="A16" s="28">
        <v>7174</v>
      </c>
      <c r="B16" s="29" t="s">
        <v>57</v>
      </c>
      <c r="C16" s="35" t="s">
        <v>58</v>
      </c>
      <c r="D16" s="31">
        <v>45343</v>
      </c>
      <c r="E16" s="32">
        <v>18421.57</v>
      </c>
      <c r="F16" s="20"/>
      <c r="G16" s="21"/>
    </row>
    <row r="17" spans="1:7" ht="15.75" thickBot="1" x14ac:dyDescent="0.3">
      <c r="A17" s="43">
        <v>8174</v>
      </c>
      <c r="B17" s="44" t="s">
        <v>69</v>
      </c>
      <c r="C17" s="50" t="s">
        <v>70</v>
      </c>
      <c r="D17" s="46">
        <v>45336</v>
      </c>
      <c r="E17" s="47">
        <v>1138657.99</v>
      </c>
      <c r="F17" s="51"/>
      <c r="G17" s="52"/>
    </row>
    <row r="18" spans="1:7" ht="15.75" thickBot="1" x14ac:dyDescent="0.3"/>
    <row r="19" spans="1:7" ht="15.75" thickBot="1" x14ac:dyDescent="0.3">
      <c r="A19" s="72" t="s">
        <v>2</v>
      </c>
      <c r="B19" s="72"/>
      <c r="C19" s="72"/>
      <c r="D19" s="73"/>
      <c r="E19" s="77">
        <f>SUM(E21:E26)</f>
        <v>2052291.17</v>
      </c>
      <c r="F19" s="78"/>
      <c r="G19" s="79"/>
    </row>
    <row r="20" spans="1:7" ht="15.75" thickBot="1" x14ac:dyDescent="0.3">
      <c r="A20" s="2" t="s">
        <v>12</v>
      </c>
      <c r="B20" s="6" t="s">
        <v>13</v>
      </c>
      <c r="C20" s="6" t="s">
        <v>14</v>
      </c>
      <c r="D20" s="6" t="s">
        <v>15</v>
      </c>
      <c r="E20" s="7" t="s">
        <v>16</v>
      </c>
      <c r="F20" s="8" t="s">
        <v>17</v>
      </c>
      <c r="G20" s="8" t="s">
        <v>18</v>
      </c>
    </row>
    <row r="21" spans="1:7" x14ac:dyDescent="0.25">
      <c r="A21" s="9">
        <v>4174</v>
      </c>
      <c r="B21" s="16" t="s">
        <v>23</v>
      </c>
      <c r="C21" s="17" t="s">
        <v>24</v>
      </c>
      <c r="D21" s="18">
        <v>45372</v>
      </c>
      <c r="E21" s="19">
        <v>334710.46000000002</v>
      </c>
      <c r="F21" s="20"/>
      <c r="G21" s="21"/>
    </row>
    <row r="22" spans="1:7" x14ac:dyDescent="0.25">
      <c r="A22" s="28">
        <v>4233417112</v>
      </c>
      <c r="B22" s="29" t="s">
        <v>35</v>
      </c>
      <c r="C22" s="30" t="s">
        <v>36</v>
      </c>
      <c r="D22" s="31">
        <v>45377</v>
      </c>
      <c r="E22" s="32">
        <v>369772.55</v>
      </c>
      <c r="F22" s="20"/>
      <c r="G22" s="21"/>
    </row>
    <row r="23" spans="1:7" x14ac:dyDescent="0.25">
      <c r="A23" s="28">
        <v>5174</v>
      </c>
      <c r="B23" s="29" t="s">
        <v>45</v>
      </c>
      <c r="C23" s="30" t="s">
        <v>24</v>
      </c>
      <c r="D23" s="31">
        <v>45371</v>
      </c>
      <c r="E23" s="32">
        <v>1893.55</v>
      </c>
      <c r="F23" s="20"/>
      <c r="G23" s="21"/>
    </row>
    <row r="24" spans="1:7" x14ac:dyDescent="0.25">
      <c r="A24" s="28">
        <v>6174</v>
      </c>
      <c r="B24" s="29" t="s">
        <v>51</v>
      </c>
      <c r="C24" s="42" t="s">
        <v>24</v>
      </c>
      <c r="D24" s="31">
        <v>45371</v>
      </c>
      <c r="E24" s="32">
        <v>80185.09</v>
      </c>
      <c r="F24" s="20"/>
      <c r="G24" s="21"/>
    </row>
    <row r="25" spans="1:7" x14ac:dyDescent="0.25">
      <c r="A25" s="28">
        <v>7174</v>
      </c>
      <c r="B25" s="29" t="s">
        <v>59</v>
      </c>
      <c r="C25" s="35" t="s">
        <v>60</v>
      </c>
      <c r="D25" s="31">
        <v>45376</v>
      </c>
      <c r="E25" s="32">
        <v>50973.09</v>
      </c>
      <c r="F25" s="20"/>
      <c r="G25" s="21"/>
    </row>
    <row r="26" spans="1:7" ht="15.75" thickBot="1" x14ac:dyDescent="0.3">
      <c r="A26" s="43">
        <v>8174</v>
      </c>
      <c r="B26" s="44" t="s">
        <v>71</v>
      </c>
      <c r="C26" s="50" t="s">
        <v>72</v>
      </c>
      <c r="D26" s="46">
        <v>45363</v>
      </c>
      <c r="E26" s="47">
        <v>1214756.43</v>
      </c>
      <c r="F26" s="51"/>
      <c r="G26" s="52"/>
    </row>
    <row r="27" spans="1:7" ht="15.75" thickBot="1" x14ac:dyDescent="0.3"/>
    <row r="28" spans="1:7" ht="15.75" thickBot="1" x14ac:dyDescent="0.3">
      <c r="A28" s="72" t="s">
        <v>3</v>
      </c>
      <c r="B28" s="72"/>
      <c r="C28" s="72"/>
      <c r="D28" s="73"/>
      <c r="E28" s="77">
        <f>SUM(E30:E35)</f>
        <v>2577749.77</v>
      </c>
      <c r="F28" s="78"/>
      <c r="G28" s="79"/>
    </row>
    <row r="29" spans="1:7" ht="15.75" thickBot="1" x14ac:dyDescent="0.3">
      <c r="A29" s="2" t="s">
        <v>12</v>
      </c>
      <c r="B29" s="3" t="s">
        <v>13</v>
      </c>
      <c r="C29" s="3" t="s">
        <v>14</v>
      </c>
      <c r="D29" s="3" t="s">
        <v>15</v>
      </c>
      <c r="E29" s="4" t="s">
        <v>16</v>
      </c>
      <c r="F29" s="5" t="s">
        <v>17</v>
      </c>
      <c r="G29" s="5" t="s">
        <v>18</v>
      </c>
    </row>
    <row r="30" spans="1:7" x14ac:dyDescent="0.25">
      <c r="A30" s="9">
        <v>4174</v>
      </c>
      <c r="B30" s="10" t="s">
        <v>25</v>
      </c>
      <c r="C30" s="11" t="s">
        <v>26</v>
      </c>
      <c r="D30" s="12">
        <v>45412</v>
      </c>
      <c r="E30" s="13">
        <v>489421.41</v>
      </c>
      <c r="F30" s="14"/>
      <c r="G30" s="15"/>
    </row>
    <row r="31" spans="1:7" x14ac:dyDescent="0.25">
      <c r="A31" s="28">
        <v>4233417112</v>
      </c>
      <c r="B31" s="29" t="s">
        <v>37</v>
      </c>
      <c r="C31" s="30" t="s">
        <v>38</v>
      </c>
      <c r="D31" s="31">
        <v>45412</v>
      </c>
      <c r="E31" s="32">
        <v>711358.41</v>
      </c>
      <c r="F31" s="33"/>
      <c r="G31" s="34"/>
    </row>
    <row r="32" spans="1:7" x14ac:dyDescent="0.25">
      <c r="A32" s="28">
        <v>5174</v>
      </c>
      <c r="B32" s="29" t="s">
        <v>46</v>
      </c>
      <c r="C32" s="30" t="s">
        <v>26</v>
      </c>
      <c r="D32" s="31">
        <v>45412</v>
      </c>
      <c r="E32" s="32">
        <v>3191.82</v>
      </c>
      <c r="F32" s="33"/>
      <c r="G32" s="34"/>
    </row>
    <row r="33" spans="1:7" x14ac:dyDescent="0.25">
      <c r="A33" s="28">
        <v>6174</v>
      </c>
      <c r="B33" s="29" t="s">
        <v>52</v>
      </c>
      <c r="C33" s="42" t="s">
        <v>26</v>
      </c>
      <c r="D33" s="31">
        <v>45412</v>
      </c>
      <c r="E33" s="32">
        <v>154464.44</v>
      </c>
      <c r="F33" s="33"/>
      <c r="G33" s="34"/>
    </row>
    <row r="34" spans="1:7" x14ac:dyDescent="0.25">
      <c r="A34" s="28">
        <v>7174</v>
      </c>
      <c r="B34" s="29" t="s">
        <v>61</v>
      </c>
      <c r="C34" s="35" t="s">
        <v>62</v>
      </c>
      <c r="D34" s="31">
        <v>45412</v>
      </c>
      <c r="E34" s="32">
        <v>123363.15</v>
      </c>
      <c r="F34" s="33"/>
      <c r="G34" s="34"/>
    </row>
    <row r="35" spans="1:7" ht="15.75" thickBot="1" x14ac:dyDescent="0.3">
      <c r="A35" s="43">
        <v>8174</v>
      </c>
      <c r="B35" s="44" t="s">
        <v>73</v>
      </c>
      <c r="C35" s="50" t="s">
        <v>74</v>
      </c>
      <c r="D35" s="46">
        <v>45391</v>
      </c>
      <c r="E35" s="47">
        <v>1095950.54</v>
      </c>
      <c r="F35" s="48"/>
      <c r="G35" s="49"/>
    </row>
    <row r="36" spans="1:7" ht="15.75" thickBot="1" x14ac:dyDescent="0.3"/>
    <row r="37" spans="1:7" ht="15.75" thickBot="1" x14ac:dyDescent="0.3">
      <c r="A37" s="72" t="s">
        <v>4</v>
      </c>
      <c r="B37" s="72"/>
      <c r="C37" s="72"/>
      <c r="D37" s="73"/>
      <c r="E37" s="77">
        <f>SUM(E39:E44)</f>
        <v>10885425.669999998</v>
      </c>
      <c r="F37" s="78"/>
      <c r="G37" s="79"/>
    </row>
    <row r="38" spans="1:7" ht="15.75" thickBot="1" x14ac:dyDescent="0.3">
      <c r="A38" s="2" t="s">
        <v>12</v>
      </c>
      <c r="B38" s="6" t="s">
        <v>13</v>
      </c>
      <c r="C38" s="6" t="s">
        <v>14</v>
      </c>
      <c r="D38" s="6" t="s">
        <v>15</v>
      </c>
      <c r="E38" s="7" t="s">
        <v>16</v>
      </c>
      <c r="F38" s="8" t="s">
        <v>17</v>
      </c>
      <c r="G38" s="8" t="s">
        <v>18</v>
      </c>
    </row>
    <row r="39" spans="1:7" x14ac:dyDescent="0.25">
      <c r="A39" s="9">
        <v>4174</v>
      </c>
      <c r="B39" s="16" t="s">
        <v>27</v>
      </c>
      <c r="C39" s="17" t="s">
        <v>28</v>
      </c>
      <c r="D39" s="18">
        <v>45433</v>
      </c>
      <c r="E39" s="19">
        <v>2756249.09</v>
      </c>
      <c r="F39" s="20"/>
      <c r="G39" s="21"/>
    </row>
    <row r="40" spans="1:7" x14ac:dyDescent="0.25">
      <c r="A40" s="28">
        <v>4233417112</v>
      </c>
      <c r="B40" s="29" t="s">
        <v>39</v>
      </c>
      <c r="C40" s="30" t="s">
        <v>40</v>
      </c>
      <c r="D40" s="31">
        <v>45439</v>
      </c>
      <c r="E40" s="32">
        <v>2266474.75</v>
      </c>
      <c r="F40" s="20"/>
      <c r="G40" s="21"/>
    </row>
    <row r="41" spans="1:7" x14ac:dyDescent="0.25">
      <c r="A41" s="28">
        <v>5174</v>
      </c>
      <c r="B41" s="29" t="s">
        <v>47</v>
      </c>
      <c r="C41" s="30" t="s">
        <v>28</v>
      </c>
      <c r="D41" s="31">
        <v>45432</v>
      </c>
      <c r="E41" s="32">
        <v>14782.3</v>
      </c>
      <c r="F41" s="20"/>
      <c r="G41" s="21"/>
    </row>
    <row r="42" spans="1:7" x14ac:dyDescent="0.25">
      <c r="A42" s="28">
        <v>6174</v>
      </c>
      <c r="B42" s="29" t="s">
        <v>53</v>
      </c>
      <c r="C42" s="42" t="s">
        <v>28</v>
      </c>
      <c r="D42" s="31">
        <v>45432</v>
      </c>
      <c r="E42" s="32">
        <v>869778.34</v>
      </c>
      <c r="F42" s="20"/>
      <c r="G42" s="21"/>
    </row>
    <row r="43" spans="1:7" x14ac:dyDescent="0.25">
      <c r="A43" s="28">
        <v>7174</v>
      </c>
      <c r="B43" s="29" t="s">
        <v>63</v>
      </c>
      <c r="C43" s="35" t="s">
        <v>64</v>
      </c>
      <c r="D43" s="31">
        <v>45435</v>
      </c>
      <c r="E43" s="32">
        <v>528925.63</v>
      </c>
      <c r="F43" s="20"/>
      <c r="G43" s="21"/>
    </row>
    <row r="44" spans="1:7" ht="15.75" thickBot="1" x14ac:dyDescent="0.3">
      <c r="A44" s="43">
        <v>8174</v>
      </c>
      <c r="B44" s="44" t="s">
        <v>75</v>
      </c>
      <c r="C44" s="50" t="s">
        <v>76</v>
      </c>
      <c r="D44" s="46">
        <v>45428</v>
      </c>
      <c r="E44" s="47">
        <v>4449215.5599999996</v>
      </c>
      <c r="F44" s="51"/>
      <c r="G44" s="52"/>
    </row>
    <row r="45" spans="1:7" ht="15.75" thickBot="1" x14ac:dyDescent="0.3"/>
    <row r="46" spans="1:7" ht="15.75" thickBot="1" x14ac:dyDescent="0.3">
      <c r="A46" s="72" t="s">
        <v>5</v>
      </c>
      <c r="B46" s="72"/>
      <c r="C46" s="72"/>
      <c r="D46" s="73"/>
      <c r="E46" s="77">
        <f>SUM(E48:E53)</f>
        <v>28837714.399999999</v>
      </c>
      <c r="F46" s="78"/>
      <c r="G46" s="79"/>
    </row>
    <row r="47" spans="1:7" ht="15.75" thickBot="1" x14ac:dyDescent="0.3">
      <c r="A47" s="2" t="s">
        <v>12</v>
      </c>
      <c r="B47" s="6" t="s">
        <v>13</v>
      </c>
      <c r="C47" s="6" t="s">
        <v>14</v>
      </c>
      <c r="D47" s="6" t="s">
        <v>15</v>
      </c>
      <c r="E47" s="7" t="s">
        <v>16</v>
      </c>
      <c r="F47" s="8" t="s">
        <v>17</v>
      </c>
      <c r="G47" s="8" t="s">
        <v>18</v>
      </c>
    </row>
    <row r="48" spans="1:7" x14ac:dyDescent="0.25">
      <c r="A48" s="9">
        <v>4174</v>
      </c>
      <c r="B48" s="16" t="s">
        <v>29</v>
      </c>
      <c r="C48" s="17" t="s">
        <v>30</v>
      </c>
      <c r="D48" s="18">
        <v>45467</v>
      </c>
      <c r="E48" s="19">
        <v>4793309.33</v>
      </c>
      <c r="F48" s="20"/>
      <c r="G48" s="21"/>
    </row>
    <row r="49" spans="1:7" x14ac:dyDescent="0.25">
      <c r="A49" s="28">
        <v>4233417112</v>
      </c>
      <c r="B49" s="29" t="s">
        <v>41</v>
      </c>
      <c r="C49" s="30" t="s">
        <v>42</v>
      </c>
      <c r="D49" s="31">
        <v>45470</v>
      </c>
      <c r="E49" s="32">
        <v>5654249.96</v>
      </c>
      <c r="F49" s="20"/>
      <c r="G49" s="21"/>
    </row>
    <row r="50" spans="1:7" x14ac:dyDescent="0.25">
      <c r="A50" s="28">
        <v>5174</v>
      </c>
      <c r="B50" s="29" t="s">
        <v>48</v>
      </c>
      <c r="C50" s="30" t="s">
        <v>30</v>
      </c>
      <c r="D50" s="31">
        <v>45462</v>
      </c>
      <c r="E50" s="32">
        <v>14777.37</v>
      </c>
      <c r="F50" s="20"/>
      <c r="G50" s="21"/>
    </row>
    <row r="51" spans="1:7" x14ac:dyDescent="0.25">
      <c r="A51" s="28">
        <v>6174</v>
      </c>
      <c r="B51" s="29" t="s">
        <v>54</v>
      </c>
      <c r="C51" s="30" t="s">
        <v>30</v>
      </c>
      <c r="D51" s="31">
        <v>45462</v>
      </c>
      <c r="E51" s="32">
        <v>1171946.67</v>
      </c>
      <c r="F51" s="20"/>
      <c r="G51" s="21"/>
    </row>
    <row r="52" spans="1:7" x14ac:dyDescent="0.25">
      <c r="A52" s="28">
        <v>7174</v>
      </c>
      <c r="B52" s="29" t="s">
        <v>65</v>
      </c>
      <c r="C52" s="30" t="s">
        <v>66</v>
      </c>
      <c r="D52" s="31">
        <v>45470</v>
      </c>
      <c r="E52" s="32">
        <v>666985.02</v>
      </c>
      <c r="F52" s="20"/>
      <c r="G52" s="21"/>
    </row>
    <row r="53" spans="1:7" ht="15.75" thickBot="1" x14ac:dyDescent="0.3">
      <c r="A53" s="43">
        <v>8174</v>
      </c>
      <c r="B53" s="44" t="s">
        <v>77</v>
      </c>
      <c r="C53" s="50" t="s">
        <v>78</v>
      </c>
      <c r="D53" s="46">
        <v>45461</v>
      </c>
      <c r="E53" s="47">
        <v>16536446.050000001</v>
      </c>
      <c r="F53" s="51"/>
      <c r="G53" s="52"/>
    </row>
    <row r="54" spans="1:7" ht="15.75" thickBot="1" x14ac:dyDescent="0.3"/>
    <row r="55" spans="1:7" ht="15.75" thickBot="1" x14ac:dyDescent="0.3">
      <c r="A55" s="71" t="s">
        <v>6</v>
      </c>
      <c r="B55" s="72"/>
      <c r="C55" s="72"/>
      <c r="D55" s="73"/>
      <c r="E55" s="77">
        <f>SUM(E57:E62)</f>
        <v>27950202.779999997</v>
      </c>
      <c r="F55" s="78"/>
      <c r="G55" s="79"/>
    </row>
    <row r="56" spans="1:7" ht="15.75" thickBot="1" x14ac:dyDescent="0.3">
      <c r="A56" s="60" t="s">
        <v>12</v>
      </c>
      <c r="B56" s="6" t="s">
        <v>13</v>
      </c>
      <c r="C56" s="6" t="s">
        <v>14</v>
      </c>
      <c r="D56" s="6" t="s">
        <v>15</v>
      </c>
      <c r="E56" s="7" t="s">
        <v>16</v>
      </c>
      <c r="F56" s="8" t="s">
        <v>17</v>
      </c>
      <c r="G56" s="8" t="s">
        <v>18</v>
      </c>
    </row>
    <row r="57" spans="1:7" x14ac:dyDescent="0.25">
      <c r="A57" s="61">
        <v>4174</v>
      </c>
      <c r="B57" s="16" t="s">
        <v>79</v>
      </c>
      <c r="C57" s="22" t="s">
        <v>85</v>
      </c>
      <c r="D57" s="18">
        <v>45492</v>
      </c>
      <c r="E57" s="19">
        <v>4185873.4</v>
      </c>
      <c r="F57" s="20"/>
      <c r="G57" s="21"/>
    </row>
    <row r="58" spans="1:7" x14ac:dyDescent="0.25">
      <c r="A58" s="62">
        <v>4233417112</v>
      </c>
      <c r="B58" s="29" t="s">
        <v>80</v>
      </c>
      <c r="C58" s="36" t="s">
        <v>86</v>
      </c>
      <c r="D58" s="31">
        <v>45498</v>
      </c>
      <c r="E58" s="32">
        <v>5627646.3099999996</v>
      </c>
      <c r="F58" s="20"/>
      <c r="G58" s="21"/>
    </row>
    <row r="59" spans="1:7" x14ac:dyDescent="0.25">
      <c r="A59" s="62">
        <v>5174</v>
      </c>
      <c r="B59" s="29" t="s">
        <v>81</v>
      </c>
      <c r="C59" s="36" t="s">
        <v>85</v>
      </c>
      <c r="D59" s="31">
        <v>45492</v>
      </c>
      <c r="E59" s="32">
        <v>14825.98</v>
      </c>
      <c r="F59" s="20"/>
      <c r="G59" s="21"/>
    </row>
    <row r="60" spans="1:7" x14ac:dyDescent="0.25">
      <c r="A60" s="62">
        <v>6174</v>
      </c>
      <c r="B60" s="29" t="s">
        <v>82</v>
      </c>
      <c r="C60" s="36" t="s">
        <v>85</v>
      </c>
      <c r="D60" s="31">
        <v>45492</v>
      </c>
      <c r="E60" s="32">
        <v>1231021.3700000001</v>
      </c>
      <c r="F60" s="20"/>
      <c r="G60" s="21"/>
    </row>
    <row r="61" spans="1:7" x14ac:dyDescent="0.25">
      <c r="A61" s="62">
        <v>7174</v>
      </c>
      <c r="B61" s="29" t="s">
        <v>83</v>
      </c>
      <c r="C61" s="36" t="s">
        <v>87</v>
      </c>
      <c r="D61" s="31">
        <v>45497</v>
      </c>
      <c r="E61" s="32">
        <v>620196.87</v>
      </c>
      <c r="F61" s="20"/>
      <c r="G61" s="21"/>
    </row>
    <row r="62" spans="1:7" ht="15.75" thickBot="1" x14ac:dyDescent="0.3">
      <c r="A62" s="63">
        <v>8174</v>
      </c>
      <c r="B62" s="44" t="s">
        <v>84</v>
      </c>
      <c r="C62" s="53" t="s">
        <v>88</v>
      </c>
      <c r="D62" s="46">
        <v>45489</v>
      </c>
      <c r="E62" s="47">
        <v>16270638.85</v>
      </c>
      <c r="F62" s="51"/>
      <c r="G62" s="52"/>
    </row>
    <row r="63" spans="1:7" ht="15.75" thickBot="1" x14ac:dyDescent="0.3"/>
    <row r="64" spans="1:7" ht="15.75" thickBot="1" x14ac:dyDescent="0.3">
      <c r="A64" s="71" t="s">
        <v>7</v>
      </c>
      <c r="B64" s="72"/>
      <c r="C64" s="72"/>
      <c r="D64" s="73"/>
      <c r="E64" s="77">
        <f>SUM(E66:E71)</f>
        <v>32958652.910000004</v>
      </c>
      <c r="F64" s="78"/>
      <c r="G64" s="79"/>
    </row>
    <row r="65" spans="1:7" ht="15.75" thickBot="1" x14ac:dyDescent="0.3">
      <c r="A65" s="60" t="s">
        <v>12</v>
      </c>
      <c r="B65" s="3" t="s">
        <v>13</v>
      </c>
      <c r="C65" s="3" t="s">
        <v>14</v>
      </c>
      <c r="D65" s="3" t="s">
        <v>15</v>
      </c>
      <c r="E65" s="4" t="s">
        <v>16</v>
      </c>
      <c r="F65" s="5" t="s">
        <v>17</v>
      </c>
      <c r="G65" s="5" t="s">
        <v>18</v>
      </c>
    </row>
    <row r="66" spans="1:7" x14ac:dyDescent="0.25">
      <c r="A66" s="61">
        <v>4174</v>
      </c>
      <c r="B66" s="10" t="s">
        <v>89</v>
      </c>
      <c r="C66" s="11" t="s">
        <v>90</v>
      </c>
      <c r="D66" s="12">
        <v>45527</v>
      </c>
      <c r="E66" s="13">
        <v>5144060.7</v>
      </c>
      <c r="F66" s="14"/>
      <c r="G66" s="15"/>
    </row>
    <row r="67" spans="1:7" x14ac:dyDescent="0.25">
      <c r="A67" s="62">
        <v>4233417112</v>
      </c>
      <c r="B67" s="29" t="s">
        <v>92</v>
      </c>
      <c r="C67" s="30" t="s">
        <v>91</v>
      </c>
      <c r="D67" s="31">
        <v>45527</v>
      </c>
      <c r="E67" s="32">
        <v>5305765.49</v>
      </c>
      <c r="F67" s="33"/>
      <c r="G67" s="34"/>
    </row>
    <row r="68" spans="1:7" x14ac:dyDescent="0.25">
      <c r="A68" s="62">
        <v>5174</v>
      </c>
      <c r="B68" s="29" t="s">
        <v>93</v>
      </c>
      <c r="C68" s="30" t="s">
        <v>90</v>
      </c>
      <c r="D68" s="31">
        <v>45527</v>
      </c>
      <c r="E68" s="32">
        <v>14983.87</v>
      </c>
      <c r="F68" s="33"/>
      <c r="G68" s="34"/>
    </row>
    <row r="69" spans="1:7" x14ac:dyDescent="0.25">
      <c r="A69" s="62">
        <v>6174</v>
      </c>
      <c r="B69" s="29" t="s">
        <v>94</v>
      </c>
      <c r="C69" s="42" t="s">
        <v>90</v>
      </c>
      <c r="D69" s="31">
        <v>45527</v>
      </c>
      <c r="E69" s="32">
        <v>1516730</v>
      </c>
      <c r="F69" s="33"/>
      <c r="G69" s="34"/>
    </row>
    <row r="70" spans="1:7" x14ac:dyDescent="0.25">
      <c r="A70" s="62">
        <v>7174</v>
      </c>
      <c r="B70" s="29" t="s">
        <v>95</v>
      </c>
      <c r="C70" s="35" t="s">
        <v>96</v>
      </c>
      <c r="D70" s="31">
        <v>45527</v>
      </c>
      <c r="E70" s="32">
        <v>570400.14</v>
      </c>
      <c r="F70" s="33"/>
      <c r="G70" s="34"/>
    </row>
    <row r="71" spans="1:7" ht="15.75" thickBot="1" x14ac:dyDescent="0.3">
      <c r="A71" s="63">
        <v>8174</v>
      </c>
      <c r="B71" s="44" t="s">
        <v>98</v>
      </c>
      <c r="C71" s="50" t="s">
        <v>97</v>
      </c>
      <c r="D71" s="46">
        <v>45520</v>
      </c>
      <c r="E71" s="47">
        <v>20406712.710000001</v>
      </c>
      <c r="F71" s="48"/>
      <c r="G71" s="49"/>
    </row>
    <row r="72" spans="1:7" ht="15.75" thickBot="1" x14ac:dyDescent="0.3"/>
    <row r="73" spans="1:7" ht="15.75" thickBot="1" x14ac:dyDescent="0.3">
      <c r="A73" s="71" t="s">
        <v>8</v>
      </c>
      <c r="B73" s="72"/>
      <c r="C73" s="72"/>
      <c r="D73" s="73"/>
      <c r="E73" s="68">
        <f>SUM(E75:E80)</f>
        <v>37349980.340000004</v>
      </c>
      <c r="F73" s="69"/>
      <c r="G73" s="70"/>
    </row>
    <row r="74" spans="1:7" ht="15.75" thickBot="1" x14ac:dyDescent="0.3">
      <c r="A74" s="60" t="s">
        <v>12</v>
      </c>
      <c r="B74" s="3" t="s">
        <v>13</v>
      </c>
      <c r="C74" s="3" t="s">
        <v>14</v>
      </c>
      <c r="D74" s="3" t="s">
        <v>15</v>
      </c>
      <c r="E74" s="4" t="s">
        <v>16</v>
      </c>
      <c r="F74" s="5" t="s">
        <v>17</v>
      </c>
      <c r="G74" s="5" t="s">
        <v>18</v>
      </c>
    </row>
    <row r="75" spans="1:7" x14ac:dyDescent="0.25">
      <c r="A75" s="61">
        <v>4174</v>
      </c>
      <c r="B75" s="10" t="s">
        <v>99</v>
      </c>
      <c r="C75" s="11" t="s">
        <v>100</v>
      </c>
      <c r="D75" s="12">
        <v>45558</v>
      </c>
      <c r="E75" s="13">
        <v>5745508.7400000002</v>
      </c>
      <c r="F75" s="23"/>
      <c r="G75" s="24"/>
    </row>
    <row r="76" spans="1:7" x14ac:dyDescent="0.25">
      <c r="A76" s="62">
        <v>4233417112</v>
      </c>
      <c r="B76" s="29" t="s">
        <v>107</v>
      </c>
      <c r="C76" s="30" t="s">
        <v>108</v>
      </c>
      <c r="D76" s="31">
        <v>45559</v>
      </c>
      <c r="E76" s="32">
        <v>6842870.8600000003</v>
      </c>
      <c r="F76" s="37"/>
      <c r="G76" s="38"/>
    </row>
    <row r="77" spans="1:7" x14ac:dyDescent="0.25">
      <c r="A77" s="62">
        <v>5174</v>
      </c>
      <c r="B77" s="29" t="s">
        <v>101</v>
      </c>
      <c r="C77" s="30" t="s">
        <v>100</v>
      </c>
      <c r="D77" s="31">
        <v>45558</v>
      </c>
      <c r="E77" s="32">
        <v>15502.79</v>
      </c>
      <c r="F77" s="37"/>
      <c r="G77" s="38"/>
    </row>
    <row r="78" spans="1:7" x14ac:dyDescent="0.25">
      <c r="A78" s="62">
        <v>6174</v>
      </c>
      <c r="B78" s="29" t="s">
        <v>102</v>
      </c>
      <c r="C78" s="42" t="s">
        <v>100</v>
      </c>
      <c r="D78" s="31">
        <v>45558</v>
      </c>
      <c r="E78" s="32">
        <v>1514025.2</v>
      </c>
      <c r="F78" s="37"/>
      <c r="G78" s="38"/>
    </row>
    <row r="79" spans="1:7" x14ac:dyDescent="0.25">
      <c r="A79" s="62">
        <v>7174</v>
      </c>
      <c r="B79" s="29" t="s">
        <v>104</v>
      </c>
      <c r="C79" s="35" t="s">
        <v>103</v>
      </c>
      <c r="D79" s="31">
        <v>45558</v>
      </c>
      <c r="E79" s="32">
        <v>783668.4</v>
      </c>
      <c r="F79" s="37"/>
      <c r="G79" s="38"/>
    </row>
    <row r="80" spans="1:7" ht="15.75" thickBot="1" x14ac:dyDescent="0.3">
      <c r="A80" s="63">
        <v>8174</v>
      </c>
      <c r="B80" s="44" t="s">
        <v>105</v>
      </c>
      <c r="C80" s="50" t="s">
        <v>106</v>
      </c>
      <c r="D80" s="46">
        <v>45552</v>
      </c>
      <c r="E80" s="47">
        <v>22448404.350000001</v>
      </c>
      <c r="F80" s="54"/>
      <c r="G80" s="55"/>
    </row>
    <row r="81" spans="1:7" ht="15.75" thickBot="1" x14ac:dyDescent="0.3"/>
    <row r="82" spans="1:7" ht="15.75" thickBot="1" x14ac:dyDescent="0.3">
      <c r="A82" s="71" t="s">
        <v>9</v>
      </c>
      <c r="B82" s="72"/>
      <c r="C82" s="72"/>
      <c r="D82" s="73"/>
      <c r="E82" s="68">
        <f>SUM(E84:E89)</f>
        <v>21654290.75</v>
      </c>
      <c r="F82" s="69"/>
      <c r="G82" s="70"/>
    </row>
    <row r="83" spans="1:7" ht="15.75" thickBot="1" x14ac:dyDescent="0.3">
      <c r="A83" s="60" t="s">
        <v>12</v>
      </c>
      <c r="B83" s="6" t="s">
        <v>13</v>
      </c>
      <c r="C83" s="6" t="s">
        <v>14</v>
      </c>
      <c r="D83" s="6" t="s">
        <v>15</v>
      </c>
      <c r="E83" s="7" t="s">
        <v>16</v>
      </c>
      <c r="F83" s="8" t="s">
        <v>17</v>
      </c>
      <c r="G83" s="8" t="s">
        <v>18</v>
      </c>
    </row>
    <row r="84" spans="1:7" x14ac:dyDescent="0.25">
      <c r="A84" s="61">
        <v>4174</v>
      </c>
      <c r="B84" s="16" t="s">
        <v>109</v>
      </c>
      <c r="C84" s="17" t="s">
        <v>110</v>
      </c>
      <c r="D84" s="18">
        <v>45586</v>
      </c>
      <c r="E84" s="19">
        <v>4142004.25</v>
      </c>
      <c r="F84" s="25"/>
      <c r="G84" s="26"/>
    </row>
    <row r="85" spans="1:7" x14ac:dyDescent="0.25">
      <c r="A85" s="62">
        <v>4233417112</v>
      </c>
      <c r="B85" s="29" t="s">
        <v>112</v>
      </c>
      <c r="C85" s="35" t="s">
        <v>111</v>
      </c>
      <c r="D85" s="31">
        <v>45588</v>
      </c>
      <c r="E85" s="32">
        <v>4385590.9800000004</v>
      </c>
      <c r="F85" s="25"/>
      <c r="G85" s="26"/>
    </row>
    <row r="86" spans="1:7" x14ac:dyDescent="0.25">
      <c r="A86" s="62">
        <v>5174</v>
      </c>
      <c r="B86" s="29" t="s">
        <v>113</v>
      </c>
      <c r="C86" s="30" t="s">
        <v>110</v>
      </c>
      <c r="D86" s="31">
        <v>45586</v>
      </c>
      <c r="E86" s="32">
        <v>15862.04</v>
      </c>
      <c r="F86" s="25"/>
      <c r="G86" s="26"/>
    </row>
    <row r="87" spans="1:7" x14ac:dyDescent="0.25">
      <c r="A87" s="62">
        <v>6174</v>
      </c>
      <c r="B87" s="29" t="s">
        <v>114</v>
      </c>
      <c r="C87" s="42" t="s">
        <v>110</v>
      </c>
      <c r="D87" s="31">
        <v>45586</v>
      </c>
      <c r="E87" s="32">
        <v>1220875.29</v>
      </c>
      <c r="F87" s="25"/>
      <c r="G87" s="26"/>
    </row>
    <row r="88" spans="1:7" x14ac:dyDescent="0.25">
      <c r="A88" s="62">
        <v>7174</v>
      </c>
      <c r="B88" s="29" t="s">
        <v>115</v>
      </c>
      <c r="C88" s="35" t="s">
        <v>116</v>
      </c>
      <c r="D88" s="31">
        <v>45587</v>
      </c>
      <c r="E88" s="32">
        <v>735170.77</v>
      </c>
      <c r="F88" s="25"/>
      <c r="G88" s="26"/>
    </row>
    <row r="89" spans="1:7" ht="15.75" thickBot="1" x14ac:dyDescent="0.3">
      <c r="A89" s="63">
        <v>8174</v>
      </c>
      <c r="B89" s="44" t="s">
        <v>118</v>
      </c>
      <c r="C89" s="50" t="s">
        <v>117</v>
      </c>
      <c r="D89" s="46">
        <v>45580</v>
      </c>
      <c r="E89" s="47">
        <v>11154787.42</v>
      </c>
      <c r="F89" s="58"/>
      <c r="G89" s="59"/>
    </row>
    <row r="90" spans="1:7" ht="15.75" thickBot="1" x14ac:dyDescent="0.3"/>
    <row r="91" spans="1:7" ht="15.75" thickBot="1" x14ac:dyDescent="0.3">
      <c r="A91" s="74" t="s">
        <v>10</v>
      </c>
      <c r="B91" s="75"/>
      <c r="C91" s="75"/>
      <c r="D91" s="76"/>
      <c r="E91" s="68">
        <f>SUM(E93:E98)</f>
        <v>13346320.189999999</v>
      </c>
      <c r="F91" s="69"/>
      <c r="G91" s="70"/>
    </row>
    <row r="92" spans="1:7" ht="15.75" thickBot="1" x14ac:dyDescent="0.3">
      <c r="A92" s="64" t="s">
        <v>12</v>
      </c>
      <c r="B92" s="65" t="s">
        <v>13</v>
      </c>
      <c r="C92" s="65" t="s">
        <v>14</v>
      </c>
      <c r="D92" s="65" t="s">
        <v>15</v>
      </c>
      <c r="E92" s="4" t="s">
        <v>16</v>
      </c>
      <c r="F92" s="5" t="s">
        <v>17</v>
      </c>
      <c r="G92" s="5" t="s">
        <v>18</v>
      </c>
    </row>
    <row r="93" spans="1:7" x14ac:dyDescent="0.25">
      <c r="A93" s="61">
        <v>4174</v>
      </c>
      <c r="B93" s="27" t="s">
        <v>119</v>
      </c>
      <c r="C93" s="11" t="s">
        <v>120</v>
      </c>
      <c r="D93" s="12">
        <v>45617</v>
      </c>
      <c r="E93" s="13">
        <v>1739486.47</v>
      </c>
      <c r="F93" s="23"/>
      <c r="G93" s="24"/>
    </row>
    <row r="94" spans="1:7" x14ac:dyDescent="0.25">
      <c r="A94" s="62">
        <v>4233417112</v>
      </c>
      <c r="B94" s="39" t="s">
        <v>127</v>
      </c>
      <c r="C94" s="35" t="s">
        <v>128</v>
      </c>
      <c r="D94" s="31">
        <v>45621</v>
      </c>
      <c r="E94" s="32">
        <v>2906785.05</v>
      </c>
      <c r="F94" s="25"/>
      <c r="G94" s="26"/>
    </row>
    <row r="95" spans="1:7" x14ac:dyDescent="0.25">
      <c r="A95" s="62">
        <v>5174</v>
      </c>
      <c r="B95" s="40" t="s">
        <v>121</v>
      </c>
      <c r="C95" s="41" t="s">
        <v>120</v>
      </c>
      <c r="D95" s="31">
        <v>45617</v>
      </c>
      <c r="E95" s="32">
        <v>16112.66</v>
      </c>
      <c r="F95" s="25"/>
      <c r="G95" s="26"/>
    </row>
    <row r="96" spans="1:7" x14ac:dyDescent="0.25">
      <c r="A96" s="62">
        <v>6174</v>
      </c>
      <c r="B96" s="39" t="s">
        <v>122</v>
      </c>
      <c r="C96" s="42" t="s">
        <v>120</v>
      </c>
      <c r="D96" s="31">
        <v>45617</v>
      </c>
      <c r="E96" s="32">
        <v>931079.55</v>
      </c>
      <c r="F96" s="25"/>
      <c r="G96" s="26"/>
    </row>
    <row r="97" spans="1:7" x14ac:dyDescent="0.25">
      <c r="A97" s="62">
        <v>7174</v>
      </c>
      <c r="B97" s="39" t="s">
        <v>124</v>
      </c>
      <c r="C97" s="30" t="s">
        <v>123</v>
      </c>
      <c r="D97" s="31">
        <v>45617</v>
      </c>
      <c r="E97" s="32">
        <v>637174.03</v>
      </c>
      <c r="F97" s="25"/>
      <c r="G97" s="26"/>
    </row>
    <row r="98" spans="1:7" ht="15.75" thickBot="1" x14ac:dyDescent="0.3">
      <c r="A98" s="63">
        <v>8174</v>
      </c>
      <c r="B98" s="56" t="s">
        <v>125</v>
      </c>
      <c r="C98" s="57" t="s">
        <v>126</v>
      </c>
      <c r="D98" s="46">
        <v>45615</v>
      </c>
      <c r="E98" s="47">
        <v>7115682.4299999997</v>
      </c>
      <c r="F98" s="58"/>
      <c r="G98" s="59"/>
    </row>
    <row r="99" spans="1:7" ht="15.75" thickBot="1" x14ac:dyDescent="0.3"/>
    <row r="100" spans="1:7" ht="15.75" thickBot="1" x14ac:dyDescent="0.3">
      <c r="A100" s="74" t="s">
        <v>11</v>
      </c>
      <c r="B100" s="75"/>
      <c r="C100" s="75"/>
      <c r="D100" s="76"/>
      <c r="E100" s="68">
        <f>SUM(E102:E107)</f>
        <v>11861700.74</v>
      </c>
      <c r="F100" s="69"/>
      <c r="G100" s="70"/>
    </row>
    <row r="101" spans="1:7" ht="15.75" thickBot="1" x14ac:dyDescent="0.3">
      <c r="A101" s="64" t="s">
        <v>12</v>
      </c>
      <c r="B101" s="66" t="s">
        <v>13</v>
      </c>
      <c r="C101" s="66" t="s">
        <v>14</v>
      </c>
      <c r="D101" s="66" t="s">
        <v>15</v>
      </c>
      <c r="E101" s="7" t="s">
        <v>16</v>
      </c>
      <c r="F101" s="8" t="s">
        <v>17</v>
      </c>
      <c r="G101" s="8" t="s">
        <v>18</v>
      </c>
    </row>
    <row r="102" spans="1:7" x14ac:dyDescent="0.25">
      <c r="A102" s="61">
        <v>4174</v>
      </c>
      <c r="B102" s="10" t="s">
        <v>129</v>
      </c>
      <c r="C102" s="11" t="s">
        <v>130</v>
      </c>
      <c r="D102" s="12">
        <v>45646</v>
      </c>
      <c r="E102" s="13">
        <v>1629741.06</v>
      </c>
      <c r="F102" s="23"/>
      <c r="G102" s="24"/>
    </row>
    <row r="103" spans="1:7" x14ac:dyDescent="0.25">
      <c r="A103" s="62">
        <v>4233417112</v>
      </c>
      <c r="B103" s="29" t="s">
        <v>137</v>
      </c>
      <c r="C103" s="30" t="s">
        <v>138</v>
      </c>
      <c r="D103" s="31">
        <v>45652</v>
      </c>
      <c r="E103" s="32">
        <v>1902191.18</v>
      </c>
      <c r="F103" s="25"/>
      <c r="G103" s="26"/>
    </row>
    <row r="104" spans="1:7" x14ac:dyDescent="0.25">
      <c r="A104" s="62">
        <v>5174</v>
      </c>
      <c r="B104" s="29" t="s">
        <v>131</v>
      </c>
      <c r="C104" s="30" t="s">
        <v>130</v>
      </c>
      <c r="D104" s="31">
        <v>45646</v>
      </c>
      <c r="E104" s="32">
        <v>16679.55</v>
      </c>
      <c r="F104" s="25"/>
      <c r="G104" s="26"/>
    </row>
    <row r="105" spans="1:7" x14ac:dyDescent="0.25">
      <c r="A105" s="62">
        <v>6174</v>
      </c>
      <c r="B105" s="29" t="s">
        <v>132</v>
      </c>
      <c r="C105" s="42" t="s">
        <v>130</v>
      </c>
      <c r="D105" s="31">
        <v>45646</v>
      </c>
      <c r="E105" s="32">
        <v>779436.27</v>
      </c>
      <c r="F105" s="25"/>
      <c r="G105" s="26"/>
    </row>
    <row r="106" spans="1:7" x14ac:dyDescent="0.25">
      <c r="A106" s="62">
        <v>7174</v>
      </c>
      <c r="B106" s="29" t="s">
        <v>134</v>
      </c>
      <c r="C106" s="35" t="s">
        <v>133</v>
      </c>
      <c r="D106" s="31">
        <v>45646</v>
      </c>
      <c r="E106" s="32">
        <v>463428.35</v>
      </c>
      <c r="F106" s="25"/>
      <c r="G106" s="26"/>
    </row>
    <row r="107" spans="1:7" ht="15.75" thickBot="1" x14ac:dyDescent="0.3">
      <c r="A107" s="63">
        <v>8174</v>
      </c>
      <c r="B107" s="44" t="s">
        <v>135</v>
      </c>
      <c r="C107" s="50" t="s">
        <v>136</v>
      </c>
      <c r="D107" s="46">
        <v>45642</v>
      </c>
      <c r="E107" s="47">
        <v>7070224.3300000001</v>
      </c>
      <c r="F107" s="58"/>
      <c r="G107" s="59"/>
    </row>
  </sheetData>
  <mergeCells count="24">
    <mergeCell ref="E1:G1"/>
    <mergeCell ref="E10:G10"/>
    <mergeCell ref="E19:G19"/>
    <mergeCell ref="A1:D1"/>
    <mergeCell ref="A10:D10"/>
    <mergeCell ref="A19:D19"/>
    <mergeCell ref="E28:G28"/>
    <mergeCell ref="E37:G37"/>
    <mergeCell ref="E46:G46"/>
    <mergeCell ref="A28:D28"/>
    <mergeCell ref="A37:D37"/>
    <mergeCell ref="A46:D46"/>
    <mergeCell ref="E55:G55"/>
    <mergeCell ref="E64:G64"/>
    <mergeCell ref="E73:G73"/>
    <mergeCell ref="A55:D55"/>
    <mergeCell ref="A64:D64"/>
    <mergeCell ref="A73:D73"/>
    <mergeCell ref="E82:G82"/>
    <mergeCell ref="E91:G91"/>
    <mergeCell ref="E100:G100"/>
    <mergeCell ref="A82:D82"/>
    <mergeCell ref="A91:D91"/>
    <mergeCell ref="A100:D100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107"/>
  <sheetViews>
    <sheetView topLeftCell="A99" zoomScale="145" zoomScaleNormal="145" workbookViewId="0">
      <selection activeCell="B111" sqref="B111"/>
    </sheetView>
  </sheetViews>
  <sheetFormatPr baseColWidth="10" defaultRowHeight="15" x14ac:dyDescent="0.25"/>
  <cols>
    <col min="2" max="2" width="12.5703125" bestFit="1" customWidth="1"/>
    <col min="3" max="3" width="18.42578125" bestFit="1" customWidth="1"/>
    <col min="4" max="4" width="14.5703125" bestFit="1" customWidth="1"/>
    <col min="5" max="5" width="12.140625" bestFit="1" customWidth="1"/>
  </cols>
  <sheetData>
    <row r="1" spans="1:78" ht="15.75" thickBot="1" x14ac:dyDescent="0.3">
      <c r="A1" s="72" t="s">
        <v>0</v>
      </c>
      <c r="B1" s="72"/>
      <c r="C1" s="72"/>
      <c r="D1" s="73"/>
      <c r="E1" s="77">
        <f>SUM(E3:E8)</f>
        <v>11519267.91</v>
      </c>
      <c r="F1" s="78"/>
      <c r="G1" s="79"/>
      <c r="H1" s="1"/>
      <c r="O1" s="1"/>
      <c r="V1" s="1"/>
      <c r="AC1" s="1"/>
      <c r="AJ1" s="1"/>
      <c r="AQ1" s="1"/>
      <c r="AX1" s="1"/>
      <c r="BE1" s="1"/>
      <c r="BL1" s="1"/>
      <c r="BS1" s="1"/>
      <c r="BZ1" s="1"/>
    </row>
    <row r="2" spans="1:78" ht="15.75" thickBot="1" x14ac:dyDescent="0.3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5" t="s">
        <v>18</v>
      </c>
      <c r="H2" s="1"/>
      <c r="O2" s="1"/>
      <c r="V2" s="1"/>
      <c r="AC2" s="1"/>
      <c r="AJ2" s="1"/>
      <c r="AQ2" s="1"/>
      <c r="AX2" s="1"/>
      <c r="BE2" s="1"/>
      <c r="BL2" s="1"/>
      <c r="BS2" s="1"/>
      <c r="BZ2" s="1"/>
    </row>
    <row r="3" spans="1:78" x14ac:dyDescent="0.25">
      <c r="A3" s="9">
        <v>4174</v>
      </c>
      <c r="B3" s="10" t="s">
        <v>139</v>
      </c>
      <c r="C3" s="11" t="s">
        <v>140</v>
      </c>
      <c r="D3" s="12">
        <v>45678</v>
      </c>
      <c r="E3" s="13">
        <v>1597325.17</v>
      </c>
      <c r="F3" s="14"/>
      <c r="G3" s="15"/>
      <c r="H3" s="1"/>
      <c r="O3" s="1"/>
      <c r="V3" s="1"/>
      <c r="AC3" s="1"/>
      <c r="AJ3" s="1"/>
      <c r="AQ3" s="1"/>
      <c r="AX3" s="1"/>
      <c r="BE3" s="1"/>
      <c r="BL3" s="1"/>
      <c r="BS3" s="1"/>
      <c r="BZ3" s="1"/>
    </row>
    <row r="4" spans="1:78" x14ac:dyDescent="0.25">
      <c r="A4" s="28">
        <v>4233417112</v>
      </c>
      <c r="B4" s="29" t="s">
        <v>145</v>
      </c>
      <c r="C4" s="30" t="s">
        <v>146</v>
      </c>
      <c r="D4" s="31">
        <v>45680</v>
      </c>
      <c r="E4" s="32">
        <v>1640868.22</v>
      </c>
      <c r="F4" s="33"/>
      <c r="G4" s="34"/>
      <c r="H4" s="1"/>
      <c r="O4" s="1"/>
      <c r="V4" s="1"/>
      <c r="AC4" s="1"/>
      <c r="AJ4" s="1"/>
      <c r="AQ4" s="1"/>
      <c r="AX4" s="1"/>
      <c r="BE4" s="1"/>
      <c r="BL4" s="1"/>
      <c r="BS4" s="1"/>
      <c r="BZ4" s="1"/>
    </row>
    <row r="5" spans="1:78" x14ac:dyDescent="0.25">
      <c r="A5" s="28">
        <v>5174</v>
      </c>
      <c r="B5" s="29" t="s">
        <v>141</v>
      </c>
      <c r="C5" s="30" t="s">
        <v>140</v>
      </c>
      <c r="D5" s="31">
        <v>45678</v>
      </c>
      <c r="E5" s="32">
        <v>17214.73</v>
      </c>
      <c r="F5" s="33"/>
      <c r="G5" s="34"/>
      <c r="H5" s="1"/>
      <c r="O5" s="1"/>
      <c r="V5" s="1"/>
      <c r="AC5" s="1"/>
      <c r="AJ5" s="1"/>
      <c r="AQ5" s="1"/>
      <c r="AX5" s="1"/>
      <c r="BE5" s="1"/>
      <c r="BL5" s="1"/>
      <c r="BS5" s="1"/>
      <c r="BZ5" s="1"/>
    </row>
    <row r="6" spans="1:78" x14ac:dyDescent="0.25">
      <c r="A6" s="28">
        <v>6174</v>
      </c>
      <c r="B6" s="29" t="s">
        <v>142</v>
      </c>
      <c r="C6" s="42" t="s">
        <v>140</v>
      </c>
      <c r="D6" s="31">
        <v>45677</v>
      </c>
      <c r="E6" s="32">
        <v>801961.2</v>
      </c>
      <c r="F6" s="33"/>
      <c r="G6" s="34"/>
      <c r="H6" s="1"/>
      <c r="O6" s="1"/>
      <c r="V6" s="1"/>
      <c r="AC6" s="1"/>
      <c r="AJ6" s="1"/>
      <c r="AQ6" s="1"/>
      <c r="AX6" s="1"/>
      <c r="BE6" s="1"/>
      <c r="BL6" s="1"/>
      <c r="BS6" s="1"/>
      <c r="BZ6" s="1"/>
    </row>
    <row r="7" spans="1:78" x14ac:dyDescent="0.25">
      <c r="A7" s="28">
        <v>7174</v>
      </c>
      <c r="B7" s="29" t="s">
        <v>147</v>
      </c>
      <c r="C7" s="35" t="s">
        <v>148</v>
      </c>
      <c r="D7" s="31">
        <v>45681</v>
      </c>
      <c r="E7" s="32">
        <v>273768.32000000001</v>
      </c>
      <c r="F7" s="33"/>
      <c r="G7" s="34"/>
      <c r="H7" s="1"/>
      <c r="O7" s="1"/>
      <c r="V7" s="1"/>
      <c r="AC7" s="1"/>
      <c r="AJ7" s="1"/>
      <c r="AQ7" s="1"/>
      <c r="AX7" s="1"/>
      <c r="BE7" s="1"/>
      <c r="BL7" s="1"/>
      <c r="BS7" s="1"/>
      <c r="BZ7" s="1"/>
    </row>
    <row r="8" spans="1:78" ht="15.75" thickBot="1" x14ac:dyDescent="0.3">
      <c r="A8" s="43">
        <v>8174</v>
      </c>
      <c r="B8" s="44" t="s">
        <v>144</v>
      </c>
      <c r="C8" s="50" t="s">
        <v>143</v>
      </c>
      <c r="D8" s="46">
        <v>45673</v>
      </c>
      <c r="E8" s="47">
        <v>7188130.2699999996</v>
      </c>
      <c r="F8" s="48"/>
      <c r="G8" s="49"/>
      <c r="H8" s="1"/>
      <c r="O8" s="1"/>
      <c r="V8" s="1"/>
      <c r="AC8" s="1"/>
      <c r="AJ8" s="1"/>
      <c r="AQ8" s="1"/>
      <c r="AX8" s="1"/>
      <c r="BE8" s="1"/>
      <c r="BL8" s="1"/>
      <c r="BS8" s="1"/>
      <c r="BZ8" s="1"/>
    </row>
    <row r="9" spans="1:78" ht="15.75" thickBot="1" x14ac:dyDescent="0.3"/>
    <row r="10" spans="1:78" ht="15.75" thickBot="1" x14ac:dyDescent="0.3">
      <c r="A10" s="72" t="s">
        <v>1</v>
      </c>
      <c r="B10" s="72"/>
      <c r="C10" s="72"/>
      <c r="D10" s="73"/>
      <c r="E10" s="77">
        <f>SUM(E12:E17)</f>
        <v>11019961.42</v>
      </c>
      <c r="F10" s="78"/>
      <c r="G10" s="79"/>
    </row>
    <row r="11" spans="1:78" ht="15.75" thickBot="1" x14ac:dyDescent="0.3">
      <c r="A11" s="2" t="s">
        <v>12</v>
      </c>
      <c r="B11" s="6" t="s">
        <v>13</v>
      </c>
      <c r="C11" s="6" t="s">
        <v>14</v>
      </c>
      <c r="D11" s="6" t="s">
        <v>15</v>
      </c>
      <c r="E11" s="7" t="s">
        <v>16</v>
      </c>
      <c r="F11" s="8" t="s">
        <v>17</v>
      </c>
      <c r="G11" s="8" t="s">
        <v>18</v>
      </c>
    </row>
    <row r="12" spans="1:78" x14ac:dyDescent="0.25">
      <c r="A12" s="9">
        <v>4174</v>
      </c>
      <c r="B12" s="16" t="s">
        <v>149</v>
      </c>
      <c r="C12" s="17" t="s">
        <v>152</v>
      </c>
      <c r="D12" s="18">
        <v>45708</v>
      </c>
      <c r="E12" s="19">
        <v>1619592.5</v>
      </c>
      <c r="F12" s="20"/>
      <c r="G12" s="21"/>
    </row>
    <row r="13" spans="1:78" x14ac:dyDescent="0.25">
      <c r="A13" s="28">
        <v>4233417112</v>
      </c>
      <c r="B13" s="29" t="s">
        <v>150</v>
      </c>
      <c r="C13" s="35" t="s">
        <v>153</v>
      </c>
      <c r="D13" s="31">
        <v>45712</v>
      </c>
      <c r="E13" s="32">
        <v>1459369.58</v>
      </c>
      <c r="F13" s="20"/>
      <c r="G13" s="21"/>
    </row>
    <row r="14" spans="1:78" x14ac:dyDescent="0.25">
      <c r="A14" s="28">
        <v>5174</v>
      </c>
      <c r="B14" s="29" t="s">
        <v>151</v>
      </c>
      <c r="C14" s="35" t="s">
        <v>152</v>
      </c>
      <c r="D14" s="31">
        <v>45707</v>
      </c>
      <c r="E14" s="32">
        <v>17838.28</v>
      </c>
      <c r="F14" s="20"/>
      <c r="G14" s="21"/>
    </row>
    <row r="15" spans="1:78" x14ac:dyDescent="0.25">
      <c r="A15" s="28">
        <v>6174</v>
      </c>
      <c r="B15" s="29" t="s">
        <v>154</v>
      </c>
      <c r="C15" s="42" t="s">
        <v>152</v>
      </c>
      <c r="D15" s="31">
        <v>45707</v>
      </c>
      <c r="E15" s="32">
        <v>761520.73</v>
      </c>
      <c r="F15" s="20"/>
      <c r="G15" s="21"/>
    </row>
    <row r="16" spans="1:78" x14ac:dyDescent="0.25">
      <c r="A16" s="28">
        <v>7174</v>
      </c>
      <c r="B16" s="29" t="s">
        <v>155</v>
      </c>
      <c r="C16" s="35" t="s">
        <v>156</v>
      </c>
      <c r="D16" s="31">
        <v>45712</v>
      </c>
      <c r="E16" s="32">
        <v>70074.09</v>
      </c>
      <c r="F16" s="20"/>
      <c r="G16" s="21"/>
    </row>
    <row r="17" spans="1:7" ht="15.75" thickBot="1" x14ac:dyDescent="0.3">
      <c r="A17" s="43">
        <v>8174</v>
      </c>
      <c r="B17" s="44" t="s">
        <v>158</v>
      </c>
      <c r="C17" s="50" t="s">
        <v>157</v>
      </c>
      <c r="D17" s="46">
        <v>45705</v>
      </c>
      <c r="E17" s="47">
        <v>7091566.2400000002</v>
      </c>
      <c r="F17" s="51"/>
      <c r="G17" s="52"/>
    </row>
    <row r="18" spans="1:7" ht="15.75" thickBot="1" x14ac:dyDescent="0.3"/>
    <row r="19" spans="1:7" ht="15.75" thickBot="1" x14ac:dyDescent="0.3">
      <c r="A19" s="74" t="s">
        <v>2</v>
      </c>
      <c r="B19" s="75"/>
      <c r="C19" s="75"/>
      <c r="D19" s="76"/>
      <c r="E19" s="77">
        <f>SUM(E21:E26)</f>
        <v>10693550.789999999</v>
      </c>
      <c r="F19" s="78"/>
      <c r="G19" s="79"/>
    </row>
    <row r="20" spans="1:7" ht="15.75" thickBot="1" x14ac:dyDescent="0.3">
      <c r="A20" s="67" t="s">
        <v>12</v>
      </c>
      <c r="B20" s="66" t="s">
        <v>13</v>
      </c>
      <c r="C20" s="66" t="s">
        <v>14</v>
      </c>
      <c r="D20" s="66" t="s">
        <v>15</v>
      </c>
      <c r="E20" s="7" t="s">
        <v>16</v>
      </c>
      <c r="F20" s="8" t="s">
        <v>17</v>
      </c>
      <c r="G20" s="8" t="s">
        <v>18</v>
      </c>
    </row>
    <row r="21" spans="1:7" x14ac:dyDescent="0.25">
      <c r="A21" s="9">
        <v>4174</v>
      </c>
      <c r="B21" s="16" t="s">
        <v>159</v>
      </c>
      <c r="C21" s="17" t="s">
        <v>160</v>
      </c>
      <c r="D21" s="18">
        <v>45741</v>
      </c>
      <c r="E21" s="19">
        <v>1443135.5</v>
      </c>
      <c r="F21" s="20"/>
      <c r="G21" s="21"/>
    </row>
    <row r="22" spans="1:7" x14ac:dyDescent="0.25">
      <c r="A22" s="28">
        <v>4233417112</v>
      </c>
      <c r="B22" s="29" t="s">
        <v>161</v>
      </c>
      <c r="C22" s="30" t="s">
        <v>162</v>
      </c>
      <c r="D22" s="31">
        <v>45743</v>
      </c>
      <c r="E22" s="32">
        <v>1969036.98</v>
      </c>
      <c r="F22" s="20"/>
      <c r="G22" s="21"/>
    </row>
    <row r="23" spans="1:7" x14ac:dyDescent="0.25">
      <c r="A23" s="28">
        <v>5174</v>
      </c>
      <c r="B23" s="29" t="s">
        <v>163</v>
      </c>
      <c r="C23" s="30" t="s">
        <v>160</v>
      </c>
      <c r="D23" s="31">
        <v>45741</v>
      </c>
      <c r="E23" s="32">
        <v>17732.099999999999</v>
      </c>
      <c r="F23" s="20"/>
      <c r="G23" s="21"/>
    </row>
    <row r="24" spans="1:7" x14ac:dyDescent="0.25">
      <c r="A24" s="28">
        <v>6174</v>
      </c>
      <c r="B24" s="29" t="s">
        <v>164</v>
      </c>
      <c r="C24" s="42" t="s">
        <v>160</v>
      </c>
      <c r="D24" s="31">
        <v>45741</v>
      </c>
      <c r="E24" s="32">
        <v>681277.28</v>
      </c>
      <c r="F24" s="20"/>
      <c r="G24" s="21"/>
    </row>
    <row r="25" spans="1:7" x14ac:dyDescent="0.25">
      <c r="A25" s="28">
        <v>7174</v>
      </c>
      <c r="B25" s="29" t="s">
        <v>165</v>
      </c>
      <c r="C25" s="35" t="s">
        <v>166</v>
      </c>
      <c r="D25" s="31">
        <v>45742</v>
      </c>
      <c r="E25" s="32">
        <v>419935.18</v>
      </c>
      <c r="F25" s="20"/>
      <c r="G25" s="21"/>
    </row>
    <row r="26" spans="1:7" ht="15.75" thickBot="1" x14ac:dyDescent="0.3">
      <c r="A26" s="43">
        <v>8174</v>
      </c>
      <c r="B26" s="44" t="s">
        <v>167</v>
      </c>
      <c r="C26" s="50" t="s">
        <v>168</v>
      </c>
      <c r="D26" s="46">
        <v>45736</v>
      </c>
      <c r="E26" s="47">
        <v>6162433.75</v>
      </c>
      <c r="F26" s="51"/>
      <c r="G26" s="52"/>
    </row>
    <row r="27" spans="1:7" ht="15.75" thickBot="1" x14ac:dyDescent="0.3"/>
    <row r="28" spans="1:7" ht="15.75" thickBot="1" x14ac:dyDescent="0.3">
      <c r="A28" s="74" t="s">
        <v>3</v>
      </c>
      <c r="B28" s="75"/>
      <c r="C28" s="75"/>
      <c r="D28" s="76"/>
      <c r="E28" s="77">
        <f>SUM(E30:E35)</f>
        <v>13509079.5</v>
      </c>
      <c r="F28" s="78"/>
      <c r="G28" s="79"/>
    </row>
    <row r="29" spans="1:7" ht="15.75" thickBot="1" x14ac:dyDescent="0.3">
      <c r="A29" s="67" t="s">
        <v>12</v>
      </c>
      <c r="B29" s="66" t="s">
        <v>13</v>
      </c>
      <c r="C29" s="66" t="s">
        <v>14</v>
      </c>
      <c r="D29" s="66" t="s">
        <v>15</v>
      </c>
      <c r="E29" s="7" t="s">
        <v>16</v>
      </c>
      <c r="F29" s="8" t="s">
        <v>17</v>
      </c>
      <c r="G29" s="8" t="s">
        <v>18</v>
      </c>
    </row>
    <row r="30" spans="1:7" x14ac:dyDescent="0.25">
      <c r="A30" s="9">
        <v>4174</v>
      </c>
      <c r="B30" s="16" t="s">
        <v>169</v>
      </c>
      <c r="C30" s="17" t="s">
        <v>175</v>
      </c>
      <c r="D30" s="18">
        <v>45769</v>
      </c>
      <c r="E30" s="19">
        <v>1765379.7</v>
      </c>
      <c r="F30" s="20"/>
      <c r="G30" s="21"/>
    </row>
    <row r="31" spans="1:7" x14ac:dyDescent="0.25">
      <c r="A31" s="28">
        <v>4233417112</v>
      </c>
      <c r="B31" s="29" t="s">
        <v>170</v>
      </c>
      <c r="C31" s="30" t="s">
        <v>176</v>
      </c>
      <c r="D31" s="31">
        <v>45771</v>
      </c>
      <c r="E31" s="32">
        <v>2785255.64</v>
      </c>
      <c r="F31" s="20"/>
      <c r="G31" s="21"/>
    </row>
    <row r="32" spans="1:7" x14ac:dyDescent="0.25">
      <c r="A32" s="28">
        <v>5174</v>
      </c>
      <c r="B32" s="29" t="s">
        <v>171</v>
      </c>
      <c r="C32" s="30" t="s">
        <v>175</v>
      </c>
      <c r="D32" s="31">
        <v>45769</v>
      </c>
      <c r="E32" s="32">
        <v>18099.2</v>
      </c>
      <c r="F32" s="20"/>
      <c r="G32" s="21"/>
    </row>
    <row r="33" spans="1:7" x14ac:dyDescent="0.25">
      <c r="A33" s="28">
        <v>6174</v>
      </c>
      <c r="B33" s="29" t="s">
        <v>172</v>
      </c>
      <c r="C33" s="42" t="s">
        <v>175</v>
      </c>
      <c r="D33" s="31">
        <v>45769</v>
      </c>
      <c r="E33" s="32">
        <v>779304.04</v>
      </c>
      <c r="F33" s="20"/>
      <c r="G33" s="21"/>
    </row>
    <row r="34" spans="1:7" x14ac:dyDescent="0.25">
      <c r="A34" s="28">
        <v>7174</v>
      </c>
      <c r="B34" s="29" t="s">
        <v>173</v>
      </c>
      <c r="C34" s="35" t="s">
        <v>177</v>
      </c>
      <c r="D34" s="31">
        <v>45770</v>
      </c>
      <c r="E34" s="32">
        <v>643641.22</v>
      </c>
      <c r="F34" s="20"/>
      <c r="G34" s="21"/>
    </row>
    <row r="35" spans="1:7" ht="15.75" thickBot="1" x14ac:dyDescent="0.3">
      <c r="A35" s="43">
        <v>8174</v>
      </c>
      <c r="B35" s="44" t="s">
        <v>174</v>
      </c>
      <c r="C35" s="50" t="s">
        <v>178</v>
      </c>
      <c r="D35" s="46">
        <v>45768</v>
      </c>
      <c r="E35" s="47">
        <v>7517399.7000000002</v>
      </c>
      <c r="F35" s="51"/>
      <c r="G35" s="52"/>
    </row>
    <row r="36" spans="1:7" ht="15.75" thickBot="1" x14ac:dyDescent="0.3"/>
    <row r="37" spans="1:7" ht="15.75" thickBot="1" x14ac:dyDescent="0.3">
      <c r="A37" s="72" t="s">
        <v>4</v>
      </c>
      <c r="B37" s="72"/>
      <c r="C37" s="72"/>
      <c r="D37" s="73"/>
      <c r="E37" s="77">
        <f>SUM(E39:E44)</f>
        <v>20560007.18</v>
      </c>
      <c r="F37" s="78"/>
      <c r="G37" s="79"/>
    </row>
    <row r="38" spans="1:7" ht="15.75" thickBot="1" x14ac:dyDescent="0.3">
      <c r="A38" s="2" t="s">
        <v>12</v>
      </c>
      <c r="B38" s="6" t="s">
        <v>13</v>
      </c>
      <c r="C38" s="6" t="s">
        <v>14</v>
      </c>
      <c r="D38" s="6" t="s">
        <v>15</v>
      </c>
      <c r="E38" s="7" t="s">
        <v>16</v>
      </c>
      <c r="F38" s="8" t="s">
        <v>17</v>
      </c>
      <c r="G38" s="8" t="s">
        <v>18</v>
      </c>
    </row>
    <row r="39" spans="1:7" x14ac:dyDescent="0.25">
      <c r="A39" s="9">
        <v>4174</v>
      </c>
      <c r="B39" s="16" t="s">
        <v>179</v>
      </c>
      <c r="C39" s="17" t="s">
        <v>180</v>
      </c>
      <c r="D39" s="18">
        <v>45799</v>
      </c>
      <c r="E39" s="19">
        <v>3096435.48</v>
      </c>
      <c r="F39" s="20"/>
      <c r="G39" s="21"/>
    </row>
    <row r="40" spans="1:7" x14ac:dyDescent="0.25">
      <c r="A40" s="28">
        <v>4233417112</v>
      </c>
      <c r="B40" s="29" t="s">
        <v>182</v>
      </c>
      <c r="C40" s="30" t="s">
        <v>181</v>
      </c>
      <c r="D40" s="31">
        <v>45804</v>
      </c>
      <c r="E40" s="32">
        <v>4861370.4800000004</v>
      </c>
      <c r="F40" s="20"/>
      <c r="G40" s="21"/>
    </row>
    <row r="41" spans="1:7" x14ac:dyDescent="0.25">
      <c r="A41" s="28">
        <v>5174</v>
      </c>
      <c r="B41" s="29" t="s">
        <v>183</v>
      </c>
      <c r="C41" s="30" t="s">
        <v>180</v>
      </c>
      <c r="D41" s="31">
        <v>45798</v>
      </c>
      <c r="E41" s="32">
        <v>18855.32</v>
      </c>
      <c r="F41" s="20"/>
      <c r="G41" s="21"/>
    </row>
    <row r="42" spans="1:7" x14ac:dyDescent="0.25">
      <c r="A42" s="28">
        <v>6174</v>
      </c>
      <c r="B42" s="29" t="s">
        <v>184</v>
      </c>
      <c r="C42" s="42" t="s">
        <v>180</v>
      </c>
      <c r="D42" s="31">
        <v>45798</v>
      </c>
      <c r="E42" s="32">
        <v>1025766.33</v>
      </c>
      <c r="F42" s="20"/>
      <c r="G42" s="21"/>
    </row>
    <row r="43" spans="1:7" x14ac:dyDescent="0.25">
      <c r="A43" s="28">
        <v>7174</v>
      </c>
      <c r="B43" s="29" t="s">
        <v>185</v>
      </c>
      <c r="C43" s="35" t="s">
        <v>186</v>
      </c>
      <c r="D43" s="31">
        <v>45800</v>
      </c>
      <c r="E43" s="32">
        <v>667034.46</v>
      </c>
      <c r="F43" s="20"/>
      <c r="G43" s="21"/>
    </row>
    <row r="44" spans="1:7" ht="15.75" thickBot="1" x14ac:dyDescent="0.3">
      <c r="A44" s="43">
        <v>8174</v>
      </c>
      <c r="B44" s="44" t="s">
        <v>188</v>
      </c>
      <c r="C44" s="50" t="s">
        <v>187</v>
      </c>
      <c r="D44" s="46">
        <v>45797</v>
      </c>
      <c r="E44" s="47">
        <v>10890545.109999999</v>
      </c>
      <c r="F44" s="51"/>
      <c r="G44" s="52"/>
    </row>
    <row r="45" spans="1:7" ht="15.75" thickBot="1" x14ac:dyDescent="0.3"/>
    <row r="46" spans="1:7" ht="15.75" thickBot="1" x14ac:dyDescent="0.3">
      <c r="A46" s="72" t="s">
        <v>5</v>
      </c>
      <c r="B46" s="72"/>
      <c r="C46" s="72"/>
      <c r="D46" s="73"/>
      <c r="E46" s="77">
        <f>SUM(E48:E53)</f>
        <v>27707591.07</v>
      </c>
      <c r="F46" s="78"/>
      <c r="G46" s="79"/>
    </row>
    <row r="47" spans="1:7" ht="15.75" thickBot="1" x14ac:dyDescent="0.3">
      <c r="A47" s="2" t="s">
        <v>12</v>
      </c>
      <c r="B47" s="6" t="s">
        <v>13</v>
      </c>
      <c r="C47" s="6" t="s">
        <v>14</v>
      </c>
      <c r="D47" s="6" t="s">
        <v>15</v>
      </c>
      <c r="E47" s="7" t="s">
        <v>16</v>
      </c>
      <c r="F47" s="8" t="s">
        <v>17</v>
      </c>
      <c r="G47" s="8" t="s">
        <v>18</v>
      </c>
    </row>
    <row r="48" spans="1:7" x14ac:dyDescent="0.25">
      <c r="A48" s="9">
        <v>4174</v>
      </c>
      <c r="B48" s="16" t="s">
        <v>189</v>
      </c>
      <c r="C48" s="17" t="s">
        <v>190</v>
      </c>
      <c r="D48" s="18">
        <v>45831</v>
      </c>
      <c r="E48" s="19">
        <v>4646028.74</v>
      </c>
      <c r="F48" s="20"/>
      <c r="G48" s="21"/>
    </row>
    <row r="49" spans="1:7" x14ac:dyDescent="0.25">
      <c r="A49" s="28">
        <v>4233417112</v>
      </c>
      <c r="B49" s="29" t="s">
        <v>191</v>
      </c>
      <c r="C49" s="30" t="s">
        <v>192</v>
      </c>
      <c r="D49" s="31">
        <v>45832</v>
      </c>
      <c r="E49" s="32">
        <v>5946210.2199999997</v>
      </c>
      <c r="F49" s="20"/>
      <c r="G49" s="21"/>
    </row>
    <row r="50" spans="1:7" x14ac:dyDescent="0.25">
      <c r="A50" s="28">
        <v>5174</v>
      </c>
      <c r="B50" s="29" t="s">
        <v>193</v>
      </c>
      <c r="C50" s="30" t="s">
        <v>190</v>
      </c>
      <c r="D50" s="31">
        <v>45831</v>
      </c>
      <c r="E50" s="32">
        <v>19439.46</v>
      </c>
      <c r="F50" s="20"/>
      <c r="G50" s="21"/>
    </row>
    <row r="51" spans="1:7" x14ac:dyDescent="0.25">
      <c r="A51" s="28">
        <v>6174</v>
      </c>
      <c r="B51" s="29" t="s">
        <v>194</v>
      </c>
      <c r="C51" s="30" t="s">
        <v>190</v>
      </c>
      <c r="D51" s="31">
        <v>45831</v>
      </c>
      <c r="E51" s="32">
        <v>1099254.93</v>
      </c>
      <c r="F51" s="20"/>
      <c r="G51" s="21"/>
    </row>
    <row r="52" spans="1:7" x14ac:dyDescent="0.25">
      <c r="A52" s="28">
        <v>7174</v>
      </c>
      <c r="B52" s="29" t="s">
        <v>195</v>
      </c>
      <c r="C52" s="30" t="s">
        <v>196</v>
      </c>
      <c r="D52" s="31">
        <v>45832</v>
      </c>
      <c r="E52" s="32">
        <v>876011.63</v>
      </c>
      <c r="F52" s="20"/>
      <c r="G52" s="21"/>
    </row>
    <row r="53" spans="1:7" ht="15.75" thickBot="1" x14ac:dyDescent="0.3">
      <c r="A53" s="43">
        <v>8174</v>
      </c>
      <c r="B53" s="44" t="s">
        <v>198</v>
      </c>
      <c r="C53" s="50" t="s">
        <v>197</v>
      </c>
      <c r="D53" s="46">
        <v>45825</v>
      </c>
      <c r="E53" s="47">
        <v>15120646.09</v>
      </c>
      <c r="F53" s="51"/>
      <c r="G53" s="52"/>
    </row>
    <row r="54" spans="1:7" ht="15.75" thickBot="1" x14ac:dyDescent="0.3"/>
    <row r="55" spans="1:7" ht="15.75" thickBot="1" x14ac:dyDescent="0.3">
      <c r="A55" s="74" t="s">
        <v>6</v>
      </c>
      <c r="B55" s="75"/>
      <c r="C55" s="75"/>
      <c r="D55" s="76"/>
      <c r="E55" s="77">
        <f>SUM(E57:E62)</f>
        <v>40974807.890000001</v>
      </c>
      <c r="F55" s="78"/>
      <c r="G55" s="79"/>
    </row>
    <row r="56" spans="1:7" ht="15.75" thickBot="1" x14ac:dyDescent="0.3">
      <c r="A56" s="64" t="s">
        <v>12</v>
      </c>
      <c r="B56" s="66" t="s">
        <v>13</v>
      </c>
      <c r="C56" s="66" t="s">
        <v>14</v>
      </c>
      <c r="D56" s="66" t="s">
        <v>15</v>
      </c>
      <c r="E56" s="7" t="s">
        <v>16</v>
      </c>
      <c r="F56" s="8" t="s">
        <v>17</v>
      </c>
      <c r="G56" s="8" t="s">
        <v>18</v>
      </c>
    </row>
    <row r="57" spans="1:7" x14ac:dyDescent="0.25">
      <c r="A57" s="61">
        <v>4174</v>
      </c>
      <c r="B57" s="16" t="s">
        <v>199</v>
      </c>
      <c r="C57" s="22" t="s">
        <v>200</v>
      </c>
      <c r="D57" s="18">
        <v>45859</v>
      </c>
      <c r="E57" s="19">
        <v>7423665.5800000001</v>
      </c>
      <c r="F57" s="20"/>
      <c r="G57" s="21"/>
    </row>
    <row r="58" spans="1:7" x14ac:dyDescent="0.25">
      <c r="A58" s="62">
        <v>4233417112</v>
      </c>
      <c r="B58" s="29" t="s">
        <v>202</v>
      </c>
      <c r="C58" s="36" t="s">
        <v>201</v>
      </c>
      <c r="D58" s="31">
        <v>45862</v>
      </c>
      <c r="E58" s="32">
        <v>7335288.46</v>
      </c>
      <c r="F58" s="20"/>
      <c r="G58" s="21"/>
    </row>
    <row r="59" spans="1:7" x14ac:dyDescent="0.25">
      <c r="A59" s="62">
        <v>5174</v>
      </c>
      <c r="B59" s="29" t="s">
        <v>203</v>
      </c>
      <c r="C59" s="36" t="s">
        <v>200</v>
      </c>
      <c r="D59" s="31">
        <v>45859</v>
      </c>
      <c r="E59" s="32">
        <v>20092.75</v>
      </c>
      <c r="F59" s="20"/>
      <c r="G59" s="21"/>
    </row>
    <row r="60" spans="1:7" x14ac:dyDescent="0.25">
      <c r="A60" s="62">
        <v>6174</v>
      </c>
      <c r="B60" s="29" t="s">
        <v>204</v>
      </c>
      <c r="C60" s="36" t="s">
        <v>200</v>
      </c>
      <c r="D60" s="31">
        <v>45859</v>
      </c>
      <c r="E60" s="32">
        <v>1503301.86</v>
      </c>
      <c r="F60" s="20"/>
      <c r="G60" s="21"/>
    </row>
    <row r="61" spans="1:7" x14ac:dyDescent="0.25">
      <c r="A61" s="62">
        <v>7174</v>
      </c>
      <c r="B61" s="29" t="s">
        <v>205</v>
      </c>
      <c r="C61" s="36" t="s">
        <v>206</v>
      </c>
      <c r="D61" s="31">
        <v>45860</v>
      </c>
      <c r="E61" s="32">
        <v>956386.49</v>
      </c>
      <c r="F61" s="20"/>
      <c r="G61" s="21"/>
    </row>
    <row r="62" spans="1:7" ht="15.75" thickBot="1" x14ac:dyDescent="0.3">
      <c r="A62" s="63">
        <v>8174</v>
      </c>
      <c r="B62" s="44" t="s">
        <v>208</v>
      </c>
      <c r="C62" s="53" t="s">
        <v>207</v>
      </c>
      <c r="D62" s="46">
        <v>45854</v>
      </c>
      <c r="E62" s="47">
        <v>23736072.75</v>
      </c>
      <c r="F62" s="51"/>
      <c r="G62" s="52"/>
    </row>
    <row r="63" spans="1:7" ht="15.75" thickBot="1" x14ac:dyDescent="0.3"/>
    <row r="64" spans="1:7" ht="15.75" thickBot="1" x14ac:dyDescent="0.3">
      <c r="A64" s="74" t="s">
        <v>7</v>
      </c>
      <c r="B64" s="75"/>
      <c r="C64" s="75"/>
      <c r="D64" s="76"/>
      <c r="E64" s="77">
        <f>SUM(E66:E71)</f>
        <v>42166301.039999999</v>
      </c>
      <c r="F64" s="78"/>
      <c r="G64" s="79"/>
    </row>
    <row r="65" spans="1:7" ht="15.75" thickBot="1" x14ac:dyDescent="0.3">
      <c r="A65" s="64" t="s">
        <v>12</v>
      </c>
      <c r="B65" s="65" t="s">
        <v>13</v>
      </c>
      <c r="C65" s="65" t="s">
        <v>14</v>
      </c>
      <c r="D65" s="65" t="s">
        <v>15</v>
      </c>
      <c r="E65" s="4" t="s">
        <v>16</v>
      </c>
      <c r="F65" s="5" t="s">
        <v>17</v>
      </c>
      <c r="G65" s="5" t="s">
        <v>18</v>
      </c>
    </row>
    <row r="66" spans="1:7" x14ac:dyDescent="0.25">
      <c r="A66" s="61">
        <v>4174</v>
      </c>
      <c r="B66" s="10" t="s">
        <v>209</v>
      </c>
      <c r="C66" s="11" t="s">
        <v>210</v>
      </c>
      <c r="D66" s="12">
        <v>45889</v>
      </c>
      <c r="E66" s="13">
        <v>7555503.5499999998</v>
      </c>
      <c r="F66" s="14"/>
      <c r="G66" s="15"/>
    </row>
    <row r="67" spans="1:7" x14ac:dyDescent="0.25">
      <c r="A67" s="62">
        <v>4233417112</v>
      </c>
      <c r="B67" s="29" t="s">
        <v>212</v>
      </c>
      <c r="C67" s="30" t="s">
        <v>211</v>
      </c>
      <c r="D67" s="31">
        <v>45891</v>
      </c>
      <c r="E67" s="32">
        <v>7549557.3499999996</v>
      </c>
      <c r="F67" s="33"/>
      <c r="G67" s="34"/>
    </row>
    <row r="68" spans="1:7" x14ac:dyDescent="0.25">
      <c r="A68" s="62">
        <v>5174</v>
      </c>
      <c r="B68" s="29" t="s">
        <v>213</v>
      </c>
      <c r="C68" s="30" t="s">
        <v>210</v>
      </c>
      <c r="D68" s="31">
        <v>45889</v>
      </c>
      <c r="E68" s="32">
        <v>20239.09</v>
      </c>
      <c r="F68" s="33"/>
      <c r="G68" s="34"/>
    </row>
    <row r="69" spans="1:7" x14ac:dyDescent="0.25">
      <c r="A69" s="62">
        <v>6174</v>
      </c>
      <c r="B69" s="29" t="s">
        <v>214</v>
      </c>
      <c r="C69" s="42" t="s">
        <v>210</v>
      </c>
      <c r="D69" s="31">
        <v>45889</v>
      </c>
      <c r="E69" s="32">
        <v>1459466.36</v>
      </c>
      <c r="F69" s="33"/>
      <c r="G69" s="34"/>
    </row>
    <row r="70" spans="1:7" x14ac:dyDescent="0.25">
      <c r="A70" s="62">
        <v>7174</v>
      </c>
      <c r="B70" s="29" t="s">
        <v>215</v>
      </c>
      <c r="C70" s="35" t="s">
        <v>216</v>
      </c>
      <c r="D70" s="31">
        <v>45889</v>
      </c>
      <c r="E70" s="32">
        <v>780608.6</v>
      </c>
      <c r="F70" s="33"/>
      <c r="G70" s="34"/>
    </row>
    <row r="71" spans="1:7" ht="15.75" thickBot="1" x14ac:dyDescent="0.3">
      <c r="A71" s="63">
        <v>8174</v>
      </c>
      <c r="B71" s="44" t="s">
        <v>218</v>
      </c>
      <c r="C71" s="50" t="s">
        <v>217</v>
      </c>
      <c r="D71" s="46">
        <v>45887</v>
      </c>
      <c r="E71" s="47">
        <v>24800926.09</v>
      </c>
      <c r="F71" s="48"/>
      <c r="G71" s="49"/>
    </row>
    <row r="72" spans="1:7" ht="15.75" thickBot="1" x14ac:dyDescent="0.3"/>
    <row r="73" spans="1:7" ht="15.75" thickBot="1" x14ac:dyDescent="0.3">
      <c r="A73" s="74" t="s">
        <v>8</v>
      </c>
      <c r="B73" s="75"/>
      <c r="C73" s="75"/>
      <c r="D73" s="76"/>
      <c r="E73" s="68">
        <f>SUM(E75:E80)</f>
        <v>41763592.090000004</v>
      </c>
      <c r="F73" s="69"/>
      <c r="G73" s="70"/>
    </row>
    <row r="74" spans="1:7" ht="15.75" thickBot="1" x14ac:dyDescent="0.3">
      <c r="A74" s="64" t="s">
        <v>12</v>
      </c>
      <c r="B74" s="65" t="s">
        <v>13</v>
      </c>
      <c r="C74" s="65" t="s">
        <v>14</v>
      </c>
      <c r="D74" s="65" t="s">
        <v>15</v>
      </c>
      <c r="E74" s="4" t="s">
        <v>16</v>
      </c>
      <c r="F74" s="5" t="s">
        <v>17</v>
      </c>
      <c r="G74" s="5" t="s">
        <v>18</v>
      </c>
    </row>
    <row r="75" spans="1:7" x14ac:dyDescent="0.25">
      <c r="A75" s="61">
        <v>4174</v>
      </c>
      <c r="B75" s="10" t="s">
        <v>219</v>
      </c>
      <c r="C75" s="11" t="s">
        <v>220</v>
      </c>
      <c r="D75" s="12">
        <v>45918</v>
      </c>
      <c r="E75" s="13">
        <v>6206212.3200000003</v>
      </c>
      <c r="F75" s="23"/>
      <c r="G75" s="24"/>
    </row>
    <row r="76" spans="1:7" x14ac:dyDescent="0.25">
      <c r="A76" s="62">
        <v>4233417112</v>
      </c>
      <c r="B76" s="29" t="s">
        <v>221</v>
      </c>
      <c r="C76" s="30" t="s">
        <v>223</v>
      </c>
      <c r="D76" s="31">
        <v>45923</v>
      </c>
      <c r="E76" s="32">
        <v>7943750.0700000003</v>
      </c>
      <c r="F76" s="37"/>
      <c r="G76" s="38"/>
    </row>
    <row r="77" spans="1:7" x14ac:dyDescent="0.25">
      <c r="A77" s="62">
        <v>5174</v>
      </c>
      <c r="B77" s="29" t="s">
        <v>222</v>
      </c>
      <c r="C77" s="30" t="s">
        <v>220</v>
      </c>
      <c r="D77" s="31">
        <v>45918</v>
      </c>
      <c r="E77" s="32">
        <v>20524.650000000001</v>
      </c>
      <c r="F77" s="37"/>
      <c r="G77" s="38"/>
    </row>
    <row r="78" spans="1:7" x14ac:dyDescent="0.25">
      <c r="A78" s="62">
        <v>6174</v>
      </c>
      <c r="B78" s="29" t="s">
        <v>224</v>
      </c>
      <c r="C78" s="42" t="s">
        <v>220</v>
      </c>
      <c r="D78" s="31">
        <v>45918</v>
      </c>
      <c r="E78" s="32">
        <v>1292919.73</v>
      </c>
      <c r="F78" s="37"/>
      <c r="G78" s="38"/>
    </row>
    <row r="79" spans="1:7" x14ac:dyDescent="0.25">
      <c r="A79" s="62">
        <v>7174</v>
      </c>
      <c r="B79" s="29" t="s">
        <v>225</v>
      </c>
      <c r="C79" s="35" t="s">
        <v>226</v>
      </c>
      <c r="D79" s="31">
        <v>45919</v>
      </c>
      <c r="E79" s="32">
        <v>1101735.47</v>
      </c>
      <c r="F79" s="37"/>
      <c r="G79" s="38"/>
    </row>
    <row r="80" spans="1:7" ht="15.75" thickBot="1" x14ac:dyDescent="0.3">
      <c r="A80" s="63">
        <v>8174</v>
      </c>
      <c r="B80" s="44" t="s">
        <v>228</v>
      </c>
      <c r="C80" s="50" t="s">
        <v>227</v>
      </c>
      <c r="D80" s="46">
        <v>45915</v>
      </c>
      <c r="E80" s="47">
        <v>25198449.850000001</v>
      </c>
      <c r="F80" s="54"/>
      <c r="G80" s="55"/>
    </row>
    <row r="81" spans="1:7" ht="15.75" thickBot="1" x14ac:dyDescent="0.3"/>
    <row r="82" spans="1:7" ht="15.75" thickBot="1" x14ac:dyDescent="0.3">
      <c r="A82" s="74" t="s">
        <v>9</v>
      </c>
      <c r="B82" s="75"/>
      <c r="C82" s="75"/>
      <c r="D82" s="76"/>
      <c r="E82" s="68">
        <f>SUM(E84:E89)</f>
        <v>30464030.170000002</v>
      </c>
      <c r="F82" s="69"/>
      <c r="G82" s="70"/>
    </row>
    <row r="83" spans="1:7" ht="15.75" thickBot="1" x14ac:dyDescent="0.3">
      <c r="A83" s="64" t="s">
        <v>12</v>
      </c>
      <c r="B83" s="66" t="s">
        <v>13</v>
      </c>
      <c r="C83" s="66" t="s">
        <v>14</v>
      </c>
      <c r="D83" s="66" t="s">
        <v>15</v>
      </c>
      <c r="E83" s="7" t="s">
        <v>16</v>
      </c>
      <c r="F83" s="8" t="s">
        <v>17</v>
      </c>
      <c r="G83" s="8" t="s">
        <v>18</v>
      </c>
    </row>
    <row r="84" spans="1:7" x14ac:dyDescent="0.25">
      <c r="A84" s="61">
        <v>4174</v>
      </c>
      <c r="B84" s="16" t="s">
        <v>229</v>
      </c>
      <c r="C84" s="17" t="s">
        <v>230</v>
      </c>
      <c r="D84" s="18">
        <v>45951</v>
      </c>
      <c r="E84" s="19">
        <v>4440968.0199999996</v>
      </c>
      <c r="F84" s="25"/>
      <c r="G84" s="26"/>
    </row>
    <row r="85" spans="1:7" x14ac:dyDescent="0.25">
      <c r="A85" s="62">
        <v>4233417112</v>
      </c>
      <c r="B85" s="29" t="s">
        <v>232</v>
      </c>
      <c r="C85" s="35" t="s">
        <v>231</v>
      </c>
      <c r="D85" s="31">
        <v>45953</v>
      </c>
      <c r="E85" s="32">
        <v>5063388.1900000004</v>
      </c>
      <c r="F85" s="25"/>
      <c r="G85" s="26"/>
    </row>
    <row r="86" spans="1:7" x14ac:dyDescent="0.25">
      <c r="A86" s="62">
        <v>5174</v>
      </c>
      <c r="B86" s="29" t="s">
        <v>233</v>
      </c>
      <c r="C86" s="30" t="s">
        <v>230</v>
      </c>
      <c r="D86" s="31">
        <v>45951</v>
      </c>
      <c r="E86" s="32">
        <v>21288.92</v>
      </c>
      <c r="F86" s="25"/>
      <c r="G86" s="26"/>
    </row>
    <row r="87" spans="1:7" x14ac:dyDescent="0.25">
      <c r="A87" s="62">
        <v>6174</v>
      </c>
      <c r="B87" s="29" t="s">
        <v>234</v>
      </c>
      <c r="C87" s="30" t="s">
        <v>230</v>
      </c>
      <c r="D87" s="31">
        <v>45951</v>
      </c>
      <c r="E87" s="32">
        <v>1284813.25</v>
      </c>
      <c r="F87" s="25"/>
      <c r="G87" s="26"/>
    </row>
    <row r="88" spans="1:7" x14ac:dyDescent="0.25">
      <c r="A88" s="62">
        <v>7174</v>
      </c>
      <c r="B88" s="29" t="s">
        <v>235</v>
      </c>
      <c r="C88" s="35" t="s">
        <v>236</v>
      </c>
      <c r="D88" s="31">
        <v>45952</v>
      </c>
      <c r="E88" s="32">
        <v>1094035.6599999999</v>
      </c>
      <c r="F88" s="25"/>
      <c r="G88" s="26"/>
    </row>
    <row r="89" spans="1:7" ht="15.75" thickBot="1" x14ac:dyDescent="0.3">
      <c r="A89" s="63">
        <v>8174</v>
      </c>
      <c r="B89" s="44" t="s">
        <v>238</v>
      </c>
      <c r="C89" s="50" t="s">
        <v>237</v>
      </c>
      <c r="D89" s="46">
        <v>45945</v>
      </c>
      <c r="E89" s="47">
        <v>18559536.129999999</v>
      </c>
      <c r="F89" s="58"/>
      <c r="G89" s="59"/>
    </row>
    <row r="90" spans="1:7" ht="15.75" thickBot="1" x14ac:dyDescent="0.3"/>
    <row r="91" spans="1:7" ht="15.75" thickBot="1" x14ac:dyDescent="0.3">
      <c r="A91" s="74" t="s">
        <v>10</v>
      </c>
      <c r="B91" s="75"/>
      <c r="C91" s="75"/>
      <c r="D91" s="76"/>
      <c r="E91" s="68">
        <f>SUM(E93:E98)</f>
        <v>20947921.16</v>
      </c>
      <c r="F91" s="69"/>
      <c r="G91" s="70"/>
    </row>
    <row r="92" spans="1:7" ht="15.75" thickBot="1" x14ac:dyDescent="0.3">
      <c r="A92" s="64" t="s">
        <v>12</v>
      </c>
      <c r="B92" s="65" t="s">
        <v>13</v>
      </c>
      <c r="C92" s="65" t="s">
        <v>14</v>
      </c>
      <c r="D92" s="65" t="s">
        <v>15</v>
      </c>
      <c r="E92" s="4" t="s">
        <v>16</v>
      </c>
      <c r="F92" s="5" t="s">
        <v>17</v>
      </c>
      <c r="G92" s="5" t="s">
        <v>18</v>
      </c>
    </row>
    <row r="93" spans="1:7" x14ac:dyDescent="0.25">
      <c r="A93" s="61">
        <v>4174</v>
      </c>
      <c r="B93" s="27" t="s">
        <v>239</v>
      </c>
      <c r="C93" s="11" t="s">
        <v>240</v>
      </c>
      <c r="D93" s="12">
        <v>45986</v>
      </c>
      <c r="E93" s="13">
        <v>2361887.9300000002</v>
      </c>
      <c r="F93" s="23"/>
      <c r="G93" s="24"/>
    </row>
    <row r="94" spans="1:7" x14ac:dyDescent="0.25">
      <c r="A94" s="62">
        <v>4233417112</v>
      </c>
      <c r="B94" s="39" t="s">
        <v>242</v>
      </c>
      <c r="C94" s="35" t="s">
        <v>241</v>
      </c>
      <c r="D94" s="31">
        <v>45986</v>
      </c>
      <c r="E94" s="32">
        <v>4037561.17</v>
      </c>
      <c r="F94" s="25"/>
      <c r="G94" s="26"/>
    </row>
    <row r="95" spans="1:7" x14ac:dyDescent="0.25">
      <c r="A95" s="62">
        <v>5174</v>
      </c>
      <c r="B95" s="40" t="s">
        <v>243</v>
      </c>
      <c r="C95" s="41" t="s">
        <v>240</v>
      </c>
      <c r="D95" s="31">
        <v>45986</v>
      </c>
      <c r="E95" s="32">
        <v>22083.9</v>
      </c>
      <c r="F95" s="25"/>
      <c r="G95" s="26"/>
    </row>
    <row r="96" spans="1:7" x14ac:dyDescent="0.25">
      <c r="A96" s="62">
        <v>6174</v>
      </c>
      <c r="B96" s="39" t="s">
        <v>244</v>
      </c>
      <c r="C96" s="41" t="s">
        <v>240</v>
      </c>
      <c r="D96" s="31">
        <v>45986</v>
      </c>
      <c r="E96" s="32">
        <v>1056961.93</v>
      </c>
      <c r="F96" s="25"/>
      <c r="G96" s="26"/>
    </row>
    <row r="97" spans="1:7" x14ac:dyDescent="0.25">
      <c r="A97" s="62">
        <v>7174</v>
      </c>
      <c r="B97" s="39" t="s">
        <v>245</v>
      </c>
      <c r="C97" s="30" t="s">
        <v>246</v>
      </c>
      <c r="D97" s="31">
        <v>45986</v>
      </c>
      <c r="E97" s="32">
        <v>1096120.71</v>
      </c>
      <c r="F97" s="25"/>
      <c r="G97" s="26"/>
    </row>
    <row r="98" spans="1:7" ht="15.75" thickBot="1" x14ac:dyDescent="0.3">
      <c r="A98" s="63">
        <v>8174</v>
      </c>
      <c r="B98" s="56" t="s">
        <v>248</v>
      </c>
      <c r="C98" s="57" t="s">
        <v>247</v>
      </c>
      <c r="D98" s="46">
        <v>45979</v>
      </c>
      <c r="E98" s="47">
        <v>12373305.52</v>
      </c>
      <c r="F98" s="58"/>
      <c r="G98" s="59"/>
    </row>
    <row r="99" spans="1:7" ht="15.75" thickBot="1" x14ac:dyDescent="0.3"/>
    <row r="100" spans="1:7" ht="15.75" thickBot="1" x14ac:dyDescent="0.3">
      <c r="A100" s="74" t="s">
        <v>11</v>
      </c>
      <c r="B100" s="75"/>
      <c r="C100" s="75"/>
      <c r="D100" s="76"/>
      <c r="E100" s="68">
        <f>SUM(E102:E107)</f>
        <v>15693169.609999999</v>
      </c>
      <c r="F100" s="69"/>
      <c r="G100" s="70"/>
    </row>
    <row r="101" spans="1:7" ht="15.75" thickBot="1" x14ac:dyDescent="0.3">
      <c r="A101" s="64" t="s">
        <v>12</v>
      </c>
      <c r="B101" s="66" t="s">
        <v>13</v>
      </c>
      <c r="C101" s="66" t="s">
        <v>14</v>
      </c>
      <c r="D101" s="66" t="s">
        <v>15</v>
      </c>
      <c r="E101" s="7" t="s">
        <v>16</v>
      </c>
      <c r="F101" s="8" t="s">
        <v>17</v>
      </c>
      <c r="G101" s="8" t="s">
        <v>18</v>
      </c>
    </row>
    <row r="102" spans="1:7" x14ac:dyDescent="0.25">
      <c r="A102" s="61">
        <v>4174</v>
      </c>
      <c r="B102" s="10" t="s">
        <v>249</v>
      </c>
      <c r="C102" s="11" t="s">
        <v>250</v>
      </c>
      <c r="D102" s="12">
        <v>46009</v>
      </c>
      <c r="E102" s="13">
        <v>2047266.11</v>
      </c>
      <c r="F102" s="23"/>
      <c r="G102" s="24"/>
    </row>
    <row r="103" spans="1:7" x14ac:dyDescent="0.25">
      <c r="A103" s="62">
        <v>4233417112</v>
      </c>
      <c r="B103" s="29" t="s">
        <v>251</v>
      </c>
      <c r="C103" s="30" t="s">
        <v>258</v>
      </c>
      <c r="D103" s="31">
        <v>46014</v>
      </c>
      <c r="E103" s="32">
        <v>2973384.51</v>
      </c>
      <c r="F103" s="25"/>
      <c r="G103" s="26"/>
    </row>
    <row r="104" spans="1:7" x14ac:dyDescent="0.25">
      <c r="A104" s="62">
        <v>5174</v>
      </c>
      <c r="B104" s="29" t="s">
        <v>252</v>
      </c>
      <c r="C104" s="30" t="s">
        <v>250</v>
      </c>
      <c r="D104" s="31">
        <v>46009</v>
      </c>
      <c r="E104" s="32">
        <v>22723.86</v>
      </c>
      <c r="F104" s="25"/>
      <c r="G104" s="26"/>
    </row>
    <row r="105" spans="1:7" x14ac:dyDescent="0.25">
      <c r="A105" s="62">
        <v>6174</v>
      </c>
      <c r="B105" s="29" t="s">
        <v>253</v>
      </c>
      <c r="C105" s="42" t="s">
        <v>250</v>
      </c>
      <c r="D105" s="31">
        <v>46009</v>
      </c>
      <c r="E105" s="32">
        <v>882991.93</v>
      </c>
      <c r="F105" s="25"/>
      <c r="G105" s="26"/>
    </row>
    <row r="106" spans="1:7" x14ac:dyDescent="0.25">
      <c r="A106" s="62">
        <v>7174</v>
      </c>
      <c r="B106" s="29" t="s">
        <v>254</v>
      </c>
      <c r="C106" s="35" t="s">
        <v>257</v>
      </c>
      <c r="D106" s="31">
        <v>46014</v>
      </c>
      <c r="E106" s="32">
        <v>755221.72</v>
      </c>
      <c r="F106" s="25"/>
      <c r="G106" s="26"/>
    </row>
    <row r="107" spans="1:7" ht="15.75" thickBot="1" x14ac:dyDescent="0.3">
      <c r="A107" s="63">
        <v>8174</v>
      </c>
      <c r="B107" s="44" t="s">
        <v>255</v>
      </c>
      <c r="C107" s="50" t="s">
        <v>256</v>
      </c>
      <c r="D107" s="46">
        <v>46007</v>
      </c>
      <c r="E107" s="47">
        <v>9011581.4800000004</v>
      </c>
      <c r="F107" s="58"/>
      <c r="G107" s="59"/>
    </row>
  </sheetData>
  <mergeCells count="24">
    <mergeCell ref="A82:D82"/>
    <mergeCell ref="E82:G82"/>
    <mergeCell ref="A91:D91"/>
    <mergeCell ref="E91:G91"/>
    <mergeCell ref="A100:D100"/>
    <mergeCell ref="E100:G100"/>
    <mergeCell ref="A55:D55"/>
    <mergeCell ref="E55:G55"/>
    <mergeCell ref="A64:D64"/>
    <mergeCell ref="E64:G64"/>
    <mergeCell ref="A73:D73"/>
    <mergeCell ref="E73:G73"/>
    <mergeCell ref="A28:D28"/>
    <mergeCell ref="E28:G28"/>
    <mergeCell ref="A37:D37"/>
    <mergeCell ref="E37:G37"/>
    <mergeCell ref="A46:D46"/>
    <mergeCell ref="E46:G46"/>
    <mergeCell ref="A1:D1"/>
    <mergeCell ref="E1:G1"/>
    <mergeCell ref="A10:D10"/>
    <mergeCell ref="E10:G10"/>
    <mergeCell ref="A19:D19"/>
    <mergeCell ref="E19:G19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8934-77BD-471E-96A5-09D94434B4A4}">
  <dimension ref="A1:BZ107"/>
  <sheetViews>
    <sheetView tabSelected="1" zoomScale="145" zoomScaleNormal="145" workbookViewId="0">
      <selection activeCell="J7" sqref="J7"/>
    </sheetView>
  </sheetViews>
  <sheetFormatPr baseColWidth="10" defaultRowHeight="15" x14ac:dyDescent="0.25"/>
  <cols>
    <col min="2" max="2" width="12.5703125" bestFit="1" customWidth="1"/>
    <col min="3" max="3" width="18.42578125" bestFit="1" customWidth="1"/>
    <col min="4" max="4" width="14.5703125" bestFit="1" customWidth="1"/>
    <col min="5" max="5" width="12.140625" bestFit="1" customWidth="1"/>
  </cols>
  <sheetData>
    <row r="1" spans="1:78" ht="15.75" thickBot="1" x14ac:dyDescent="0.3">
      <c r="A1" s="72" t="s">
        <v>0</v>
      </c>
      <c r="B1" s="72"/>
      <c r="C1" s="72"/>
      <c r="D1" s="73"/>
      <c r="E1" s="77">
        <f>SUM(E3:E8)</f>
        <v>14099675.6</v>
      </c>
      <c r="F1" s="78"/>
      <c r="G1" s="79"/>
      <c r="H1" s="1"/>
      <c r="O1" s="1"/>
      <c r="V1" s="1"/>
      <c r="AC1" s="1"/>
      <c r="AJ1" s="1"/>
      <c r="AQ1" s="1"/>
      <c r="AX1" s="1"/>
      <c r="BE1" s="1"/>
      <c r="BL1" s="1"/>
      <c r="BS1" s="1"/>
      <c r="BZ1" s="1"/>
    </row>
    <row r="2" spans="1:78" ht="15.75" thickBot="1" x14ac:dyDescent="0.3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5" t="s">
        <v>18</v>
      </c>
      <c r="H2" s="1"/>
      <c r="O2" s="1"/>
      <c r="V2" s="1"/>
      <c r="AC2" s="1"/>
      <c r="AJ2" s="1"/>
      <c r="AQ2" s="1"/>
      <c r="AX2" s="1"/>
      <c r="BE2" s="1"/>
      <c r="BL2" s="1"/>
      <c r="BS2" s="1"/>
      <c r="BZ2" s="1"/>
    </row>
    <row r="3" spans="1:78" x14ac:dyDescent="0.25">
      <c r="A3" s="9">
        <v>4174</v>
      </c>
      <c r="B3" s="10" t="s">
        <v>259</v>
      </c>
      <c r="C3" s="11" t="s">
        <v>260</v>
      </c>
      <c r="D3" s="12">
        <v>46043</v>
      </c>
      <c r="E3" s="13">
        <v>1771353.72</v>
      </c>
      <c r="F3" s="14"/>
      <c r="G3" s="15"/>
      <c r="H3" s="1"/>
      <c r="O3" s="1"/>
      <c r="V3" s="1"/>
      <c r="AC3" s="1"/>
      <c r="AJ3" s="1"/>
      <c r="AQ3" s="1"/>
      <c r="AX3" s="1"/>
      <c r="BE3" s="1"/>
      <c r="BL3" s="1"/>
      <c r="BS3" s="1"/>
      <c r="BZ3" s="1"/>
    </row>
    <row r="4" spans="1:78" x14ac:dyDescent="0.25">
      <c r="A4" s="28">
        <v>4233417112</v>
      </c>
      <c r="B4" s="29" t="s">
        <v>262</v>
      </c>
      <c r="C4" s="30" t="s">
        <v>261</v>
      </c>
      <c r="D4" s="31">
        <v>46048</v>
      </c>
      <c r="E4" s="32">
        <v>1320288.8799999999</v>
      </c>
      <c r="F4" s="33"/>
      <c r="G4" s="34"/>
      <c r="H4" s="1"/>
      <c r="O4" s="1"/>
      <c r="V4" s="1"/>
      <c r="AC4" s="1"/>
      <c r="AJ4" s="1"/>
      <c r="AQ4" s="1"/>
      <c r="AX4" s="1"/>
      <c r="BE4" s="1"/>
      <c r="BL4" s="1"/>
      <c r="BS4" s="1"/>
      <c r="BZ4" s="1"/>
    </row>
    <row r="5" spans="1:78" x14ac:dyDescent="0.25">
      <c r="A5" s="28">
        <v>5174</v>
      </c>
      <c r="B5" s="29" t="s">
        <v>263</v>
      </c>
      <c r="C5" s="30" t="s">
        <v>260</v>
      </c>
      <c r="D5" s="31">
        <v>46043</v>
      </c>
      <c r="E5" s="32">
        <v>23287.88</v>
      </c>
      <c r="F5" s="33"/>
      <c r="G5" s="34"/>
      <c r="H5" s="1"/>
      <c r="O5" s="1"/>
      <c r="V5" s="1"/>
      <c r="AC5" s="1"/>
      <c r="AJ5" s="1"/>
      <c r="AQ5" s="1"/>
      <c r="AX5" s="1"/>
      <c r="BE5" s="1"/>
      <c r="BL5" s="1"/>
      <c r="BS5" s="1"/>
      <c r="BZ5" s="1"/>
    </row>
    <row r="6" spans="1:78" x14ac:dyDescent="0.25">
      <c r="A6" s="28">
        <v>6174</v>
      </c>
      <c r="B6" s="29" t="s">
        <v>264</v>
      </c>
      <c r="C6" s="42" t="s">
        <v>260</v>
      </c>
      <c r="D6" s="31">
        <v>46042</v>
      </c>
      <c r="E6" s="32">
        <v>814334.24</v>
      </c>
      <c r="F6" s="33"/>
      <c r="G6" s="34"/>
      <c r="H6" s="1"/>
      <c r="O6" s="1"/>
      <c r="V6" s="1"/>
      <c r="AC6" s="1"/>
      <c r="AJ6" s="1"/>
      <c r="AQ6" s="1"/>
      <c r="AX6" s="1"/>
      <c r="BE6" s="1"/>
      <c r="BL6" s="1"/>
      <c r="BS6" s="1"/>
      <c r="BZ6" s="1"/>
    </row>
    <row r="7" spans="1:78" x14ac:dyDescent="0.25">
      <c r="A7" s="28">
        <v>7174</v>
      </c>
      <c r="B7" s="29" t="s">
        <v>265</v>
      </c>
      <c r="C7" s="35" t="s">
        <v>266</v>
      </c>
      <c r="D7" s="31">
        <v>46045</v>
      </c>
      <c r="E7" s="32">
        <v>280274.27</v>
      </c>
      <c r="F7" s="33"/>
      <c r="G7" s="34"/>
      <c r="H7" s="1"/>
      <c r="O7" s="1"/>
      <c r="V7" s="1"/>
      <c r="AC7" s="1"/>
      <c r="AJ7" s="1"/>
      <c r="AQ7" s="1"/>
      <c r="AX7" s="1"/>
      <c r="BE7" s="1"/>
      <c r="BL7" s="1"/>
      <c r="BS7" s="1"/>
      <c r="BZ7" s="1"/>
    </row>
    <row r="8" spans="1:78" ht="15.75" thickBot="1" x14ac:dyDescent="0.3">
      <c r="A8" s="43">
        <v>8174</v>
      </c>
      <c r="B8" s="44" t="s">
        <v>268</v>
      </c>
      <c r="C8" s="50" t="s">
        <v>267</v>
      </c>
      <c r="D8" s="46">
        <v>46041</v>
      </c>
      <c r="E8" s="47">
        <v>9890136.6099999994</v>
      </c>
      <c r="F8" s="48"/>
      <c r="G8" s="49"/>
      <c r="H8" s="1"/>
      <c r="O8" s="1"/>
      <c r="V8" s="1"/>
      <c r="AC8" s="1"/>
      <c r="AJ8" s="1"/>
      <c r="AQ8" s="1"/>
      <c r="AX8" s="1"/>
      <c r="BE8" s="1"/>
      <c r="BL8" s="1"/>
      <c r="BS8" s="1"/>
      <c r="BZ8" s="1"/>
    </row>
    <row r="9" spans="1:78" ht="15.75" thickBot="1" x14ac:dyDescent="0.3"/>
    <row r="10" spans="1:78" ht="15.75" thickBot="1" x14ac:dyDescent="0.3">
      <c r="A10" s="72" t="s">
        <v>1</v>
      </c>
      <c r="B10" s="72"/>
      <c r="C10" s="72"/>
      <c r="D10" s="73"/>
      <c r="E10" s="77">
        <f>SUM(E12:E17)</f>
        <v>0</v>
      </c>
      <c r="F10" s="78"/>
      <c r="G10" s="79"/>
    </row>
    <row r="11" spans="1:78" ht="15.75" thickBot="1" x14ac:dyDescent="0.3">
      <c r="A11" s="2" t="s">
        <v>12</v>
      </c>
      <c r="B11" s="6" t="s">
        <v>13</v>
      </c>
      <c r="C11" s="6" t="s">
        <v>14</v>
      </c>
      <c r="D11" s="6" t="s">
        <v>15</v>
      </c>
      <c r="E11" s="7" t="s">
        <v>16</v>
      </c>
      <c r="F11" s="8" t="s">
        <v>17</v>
      </c>
      <c r="G11" s="8" t="s">
        <v>18</v>
      </c>
    </row>
    <row r="12" spans="1:78" x14ac:dyDescent="0.25">
      <c r="A12" s="9">
        <v>4174</v>
      </c>
      <c r="B12" s="16"/>
      <c r="C12" s="17"/>
      <c r="D12" s="18"/>
      <c r="E12" s="19"/>
      <c r="F12" s="20"/>
      <c r="G12" s="21"/>
    </row>
    <row r="13" spans="1:78" x14ac:dyDescent="0.25">
      <c r="A13" s="28">
        <v>4233417112</v>
      </c>
      <c r="B13" s="29"/>
      <c r="C13" s="35"/>
      <c r="D13" s="31"/>
      <c r="E13" s="32"/>
      <c r="F13" s="20"/>
      <c r="G13" s="21"/>
    </row>
    <row r="14" spans="1:78" x14ac:dyDescent="0.25">
      <c r="A14" s="28">
        <v>5174</v>
      </c>
      <c r="B14" s="29"/>
      <c r="C14" s="35"/>
      <c r="D14" s="31"/>
      <c r="E14" s="32"/>
      <c r="F14" s="20"/>
      <c r="G14" s="21"/>
    </row>
    <row r="15" spans="1:78" x14ac:dyDescent="0.25">
      <c r="A15" s="28">
        <v>6174</v>
      </c>
      <c r="B15" s="29"/>
      <c r="C15" s="42"/>
      <c r="D15" s="31"/>
      <c r="E15" s="32"/>
      <c r="F15" s="20"/>
      <c r="G15" s="21"/>
    </row>
    <row r="16" spans="1:78" x14ac:dyDescent="0.25">
      <c r="A16" s="28">
        <v>7174</v>
      </c>
      <c r="B16" s="29"/>
      <c r="C16" s="35"/>
      <c r="D16" s="31"/>
      <c r="E16" s="32"/>
      <c r="F16" s="20"/>
      <c r="G16" s="21"/>
    </row>
    <row r="17" spans="1:7" ht="15.75" thickBot="1" x14ac:dyDescent="0.3">
      <c r="A17" s="43">
        <v>8174</v>
      </c>
      <c r="B17" s="44"/>
      <c r="C17" s="50"/>
      <c r="D17" s="46"/>
      <c r="E17" s="47"/>
      <c r="F17" s="51"/>
      <c r="G17" s="52"/>
    </row>
    <row r="18" spans="1:7" ht="15.75" thickBot="1" x14ac:dyDescent="0.3"/>
    <row r="19" spans="1:7" ht="15.75" thickBot="1" x14ac:dyDescent="0.3">
      <c r="A19" s="74" t="s">
        <v>2</v>
      </c>
      <c r="B19" s="75"/>
      <c r="C19" s="75"/>
      <c r="D19" s="76"/>
      <c r="E19" s="77">
        <f>SUM(E21:E26)</f>
        <v>0</v>
      </c>
      <c r="F19" s="78"/>
      <c r="G19" s="79"/>
    </row>
    <row r="20" spans="1:7" ht="15.75" thickBot="1" x14ac:dyDescent="0.3">
      <c r="A20" s="67" t="s">
        <v>12</v>
      </c>
      <c r="B20" s="66" t="s">
        <v>13</v>
      </c>
      <c r="C20" s="66" t="s">
        <v>14</v>
      </c>
      <c r="D20" s="66" t="s">
        <v>15</v>
      </c>
      <c r="E20" s="7" t="s">
        <v>16</v>
      </c>
      <c r="F20" s="8" t="s">
        <v>17</v>
      </c>
      <c r="G20" s="8" t="s">
        <v>18</v>
      </c>
    </row>
    <row r="21" spans="1:7" x14ac:dyDescent="0.25">
      <c r="A21" s="9">
        <v>4174</v>
      </c>
      <c r="B21" s="16"/>
      <c r="C21" s="17"/>
      <c r="D21" s="18"/>
      <c r="E21" s="19"/>
      <c r="F21" s="20"/>
      <c r="G21" s="21"/>
    </row>
    <row r="22" spans="1:7" x14ac:dyDescent="0.25">
      <c r="A22" s="28">
        <v>4233417112</v>
      </c>
      <c r="B22" s="29"/>
      <c r="C22" s="30"/>
      <c r="D22" s="31"/>
      <c r="E22" s="32"/>
      <c r="F22" s="20"/>
      <c r="G22" s="21"/>
    </row>
    <row r="23" spans="1:7" x14ac:dyDescent="0.25">
      <c r="A23" s="28">
        <v>5174</v>
      </c>
      <c r="B23" s="29"/>
      <c r="C23" s="30"/>
      <c r="D23" s="31"/>
      <c r="E23" s="32"/>
      <c r="F23" s="20"/>
      <c r="G23" s="21"/>
    </row>
    <row r="24" spans="1:7" x14ac:dyDescent="0.25">
      <c r="A24" s="28">
        <v>6174</v>
      </c>
      <c r="B24" s="29"/>
      <c r="C24" s="42"/>
      <c r="D24" s="31"/>
      <c r="E24" s="32"/>
      <c r="F24" s="20"/>
      <c r="G24" s="21"/>
    </row>
    <row r="25" spans="1:7" x14ac:dyDescent="0.25">
      <c r="A25" s="28">
        <v>7174</v>
      </c>
      <c r="B25" s="29"/>
      <c r="C25" s="35"/>
      <c r="D25" s="31"/>
      <c r="E25" s="32"/>
      <c r="F25" s="20"/>
      <c r="G25" s="21"/>
    </row>
    <row r="26" spans="1:7" ht="15.75" thickBot="1" x14ac:dyDescent="0.3">
      <c r="A26" s="43">
        <v>8174</v>
      </c>
      <c r="B26" s="44"/>
      <c r="C26" s="50"/>
      <c r="D26" s="46"/>
      <c r="E26" s="47"/>
      <c r="F26" s="51"/>
      <c r="G26" s="52"/>
    </row>
    <row r="27" spans="1:7" ht="15.75" thickBot="1" x14ac:dyDescent="0.3"/>
    <row r="28" spans="1:7" ht="15.75" thickBot="1" x14ac:dyDescent="0.3">
      <c r="A28" s="74" t="s">
        <v>3</v>
      </c>
      <c r="B28" s="75"/>
      <c r="C28" s="75"/>
      <c r="D28" s="76"/>
      <c r="E28" s="77">
        <f>SUM(E30:E35)</f>
        <v>0</v>
      </c>
      <c r="F28" s="78"/>
      <c r="G28" s="79"/>
    </row>
    <row r="29" spans="1:7" ht="15.75" thickBot="1" x14ac:dyDescent="0.3">
      <c r="A29" s="67" t="s">
        <v>12</v>
      </c>
      <c r="B29" s="66" t="s">
        <v>13</v>
      </c>
      <c r="C29" s="66" t="s">
        <v>14</v>
      </c>
      <c r="D29" s="66" t="s">
        <v>15</v>
      </c>
      <c r="E29" s="7" t="s">
        <v>16</v>
      </c>
      <c r="F29" s="8" t="s">
        <v>17</v>
      </c>
      <c r="G29" s="8" t="s">
        <v>18</v>
      </c>
    </row>
    <row r="30" spans="1:7" x14ac:dyDescent="0.25">
      <c r="A30" s="9">
        <v>4174</v>
      </c>
      <c r="B30" s="16"/>
      <c r="C30" s="17"/>
      <c r="D30" s="18"/>
      <c r="E30" s="19"/>
      <c r="F30" s="20"/>
      <c r="G30" s="21"/>
    </row>
    <row r="31" spans="1:7" x14ac:dyDescent="0.25">
      <c r="A31" s="28">
        <v>4233417112</v>
      </c>
      <c r="B31" s="29"/>
      <c r="C31" s="30"/>
      <c r="D31" s="31"/>
      <c r="E31" s="32"/>
      <c r="F31" s="20"/>
      <c r="G31" s="21"/>
    </row>
    <row r="32" spans="1:7" x14ac:dyDescent="0.25">
      <c r="A32" s="28">
        <v>5174</v>
      </c>
      <c r="B32" s="29"/>
      <c r="C32" s="30"/>
      <c r="D32" s="31"/>
      <c r="E32" s="32"/>
      <c r="F32" s="20"/>
      <c r="G32" s="21"/>
    </row>
    <row r="33" spans="1:7" x14ac:dyDescent="0.25">
      <c r="A33" s="28">
        <v>6174</v>
      </c>
      <c r="B33" s="29"/>
      <c r="C33" s="42"/>
      <c r="D33" s="31"/>
      <c r="E33" s="32"/>
      <c r="F33" s="20"/>
      <c r="G33" s="21"/>
    </row>
    <row r="34" spans="1:7" x14ac:dyDescent="0.25">
      <c r="A34" s="28">
        <v>7174</v>
      </c>
      <c r="B34" s="29"/>
      <c r="C34" s="35"/>
      <c r="D34" s="31"/>
      <c r="E34" s="32"/>
      <c r="F34" s="20"/>
      <c r="G34" s="21"/>
    </row>
    <row r="35" spans="1:7" ht="15.75" thickBot="1" x14ac:dyDescent="0.3">
      <c r="A35" s="43">
        <v>8174</v>
      </c>
      <c r="B35" s="44"/>
      <c r="C35" s="50"/>
      <c r="D35" s="46"/>
      <c r="E35" s="47"/>
      <c r="F35" s="51"/>
      <c r="G35" s="52"/>
    </row>
    <row r="36" spans="1:7" ht="15.75" thickBot="1" x14ac:dyDescent="0.3"/>
    <row r="37" spans="1:7" ht="15.75" thickBot="1" x14ac:dyDescent="0.3">
      <c r="A37" s="72" t="s">
        <v>4</v>
      </c>
      <c r="B37" s="72"/>
      <c r="C37" s="72"/>
      <c r="D37" s="73"/>
      <c r="E37" s="77">
        <f>SUM(E39:E44)</f>
        <v>0</v>
      </c>
      <c r="F37" s="78"/>
      <c r="G37" s="79"/>
    </row>
    <row r="38" spans="1:7" ht="15.75" thickBot="1" x14ac:dyDescent="0.3">
      <c r="A38" s="2" t="s">
        <v>12</v>
      </c>
      <c r="B38" s="6" t="s">
        <v>13</v>
      </c>
      <c r="C38" s="6" t="s">
        <v>14</v>
      </c>
      <c r="D38" s="6" t="s">
        <v>15</v>
      </c>
      <c r="E38" s="7" t="s">
        <v>16</v>
      </c>
      <c r="F38" s="8" t="s">
        <v>17</v>
      </c>
      <c r="G38" s="8" t="s">
        <v>18</v>
      </c>
    </row>
    <row r="39" spans="1:7" x14ac:dyDescent="0.25">
      <c r="A39" s="9">
        <v>4174</v>
      </c>
      <c r="B39" s="16"/>
      <c r="C39" s="17"/>
      <c r="D39" s="18"/>
      <c r="E39" s="19"/>
      <c r="F39" s="20"/>
      <c r="G39" s="21"/>
    </row>
    <row r="40" spans="1:7" x14ac:dyDescent="0.25">
      <c r="A40" s="28">
        <v>4233417112</v>
      </c>
      <c r="B40" s="29"/>
      <c r="C40" s="30"/>
      <c r="D40" s="31"/>
      <c r="E40" s="32"/>
      <c r="F40" s="20"/>
      <c r="G40" s="21"/>
    </row>
    <row r="41" spans="1:7" x14ac:dyDescent="0.25">
      <c r="A41" s="28">
        <v>5174</v>
      </c>
      <c r="B41" s="29"/>
      <c r="C41" s="30"/>
      <c r="D41" s="31"/>
      <c r="E41" s="32"/>
      <c r="F41" s="20"/>
      <c r="G41" s="21"/>
    </row>
    <row r="42" spans="1:7" x14ac:dyDescent="0.25">
      <c r="A42" s="28">
        <v>6174</v>
      </c>
      <c r="B42" s="29"/>
      <c r="C42" s="42"/>
      <c r="D42" s="31"/>
      <c r="E42" s="32"/>
      <c r="F42" s="20"/>
      <c r="G42" s="21"/>
    </row>
    <row r="43" spans="1:7" x14ac:dyDescent="0.25">
      <c r="A43" s="28">
        <v>7174</v>
      </c>
      <c r="B43" s="29"/>
      <c r="C43" s="35"/>
      <c r="D43" s="31"/>
      <c r="E43" s="32"/>
      <c r="F43" s="20"/>
      <c r="G43" s="21"/>
    </row>
    <row r="44" spans="1:7" ht="15.75" thickBot="1" x14ac:dyDescent="0.3">
      <c r="A44" s="43">
        <v>8174</v>
      </c>
      <c r="B44" s="44"/>
      <c r="C44" s="50"/>
      <c r="D44" s="46"/>
      <c r="E44" s="47"/>
      <c r="F44" s="51"/>
      <c r="G44" s="52"/>
    </row>
    <row r="45" spans="1:7" ht="15.75" thickBot="1" x14ac:dyDescent="0.3"/>
    <row r="46" spans="1:7" ht="15.75" thickBot="1" x14ac:dyDescent="0.3">
      <c r="A46" s="72" t="s">
        <v>5</v>
      </c>
      <c r="B46" s="72"/>
      <c r="C46" s="72"/>
      <c r="D46" s="73"/>
      <c r="E46" s="77">
        <f>SUM(E48:E53)</f>
        <v>0</v>
      </c>
      <c r="F46" s="78"/>
      <c r="G46" s="79"/>
    </row>
    <row r="47" spans="1:7" ht="15.75" thickBot="1" x14ac:dyDescent="0.3">
      <c r="A47" s="2" t="s">
        <v>12</v>
      </c>
      <c r="B47" s="6" t="s">
        <v>13</v>
      </c>
      <c r="C47" s="6" t="s">
        <v>14</v>
      </c>
      <c r="D47" s="6" t="s">
        <v>15</v>
      </c>
      <c r="E47" s="7" t="s">
        <v>16</v>
      </c>
      <c r="F47" s="8" t="s">
        <v>17</v>
      </c>
      <c r="G47" s="8" t="s">
        <v>18</v>
      </c>
    </row>
    <row r="48" spans="1:7" x14ac:dyDescent="0.25">
      <c r="A48" s="9">
        <v>4174</v>
      </c>
      <c r="B48" s="16"/>
      <c r="C48" s="17"/>
      <c r="D48" s="18"/>
      <c r="E48" s="19"/>
      <c r="F48" s="20"/>
      <c r="G48" s="21"/>
    </row>
    <row r="49" spans="1:7" x14ac:dyDescent="0.25">
      <c r="A49" s="28">
        <v>4233417112</v>
      </c>
      <c r="B49" s="29"/>
      <c r="C49" s="30"/>
      <c r="D49" s="31"/>
      <c r="E49" s="32"/>
      <c r="F49" s="20"/>
      <c r="G49" s="21"/>
    </row>
    <row r="50" spans="1:7" x14ac:dyDescent="0.25">
      <c r="A50" s="28">
        <v>5174</v>
      </c>
      <c r="B50" s="29"/>
      <c r="C50" s="30"/>
      <c r="D50" s="31"/>
      <c r="E50" s="32"/>
      <c r="F50" s="20"/>
      <c r="G50" s="21"/>
    </row>
    <row r="51" spans="1:7" x14ac:dyDescent="0.25">
      <c r="A51" s="28">
        <v>6174</v>
      </c>
      <c r="B51" s="29"/>
      <c r="C51" s="30"/>
      <c r="D51" s="31"/>
      <c r="E51" s="32"/>
      <c r="F51" s="20"/>
      <c r="G51" s="21"/>
    </row>
    <row r="52" spans="1:7" x14ac:dyDescent="0.25">
      <c r="A52" s="28">
        <v>7174</v>
      </c>
      <c r="B52" s="29"/>
      <c r="C52" s="30"/>
      <c r="D52" s="31"/>
      <c r="E52" s="32"/>
      <c r="F52" s="20"/>
      <c r="G52" s="21"/>
    </row>
    <row r="53" spans="1:7" ht="15.75" thickBot="1" x14ac:dyDescent="0.3">
      <c r="A53" s="43">
        <v>8174</v>
      </c>
      <c r="B53" s="44"/>
      <c r="C53" s="50"/>
      <c r="D53" s="46"/>
      <c r="E53" s="47"/>
      <c r="F53" s="51"/>
      <c r="G53" s="52"/>
    </row>
    <row r="54" spans="1:7" ht="15.75" thickBot="1" x14ac:dyDescent="0.3"/>
    <row r="55" spans="1:7" ht="15.75" thickBot="1" x14ac:dyDescent="0.3">
      <c r="A55" s="74" t="s">
        <v>6</v>
      </c>
      <c r="B55" s="75"/>
      <c r="C55" s="75"/>
      <c r="D55" s="76"/>
      <c r="E55" s="77">
        <f>SUM(E57:E62)</f>
        <v>0</v>
      </c>
      <c r="F55" s="78"/>
      <c r="G55" s="79"/>
    </row>
    <row r="56" spans="1:7" ht="15.75" thickBot="1" x14ac:dyDescent="0.3">
      <c r="A56" s="64" t="s">
        <v>12</v>
      </c>
      <c r="B56" s="66" t="s">
        <v>13</v>
      </c>
      <c r="C56" s="66" t="s">
        <v>14</v>
      </c>
      <c r="D56" s="66" t="s">
        <v>15</v>
      </c>
      <c r="E56" s="7" t="s">
        <v>16</v>
      </c>
      <c r="F56" s="8" t="s">
        <v>17</v>
      </c>
      <c r="G56" s="8" t="s">
        <v>18</v>
      </c>
    </row>
    <row r="57" spans="1:7" x14ac:dyDescent="0.25">
      <c r="A57" s="61">
        <v>4174</v>
      </c>
      <c r="B57" s="16"/>
      <c r="C57" s="22"/>
      <c r="D57" s="18"/>
      <c r="E57" s="19"/>
      <c r="F57" s="20"/>
      <c r="G57" s="21"/>
    </row>
    <row r="58" spans="1:7" x14ac:dyDescent="0.25">
      <c r="A58" s="62">
        <v>4233417112</v>
      </c>
      <c r="B58" s="29"/>
      <c r="C58" s="36"/>
      <c r="D58" s="31"/>
      <c r="E58" s="32"/>
      <c r="F58" s="20"/>
      <c r="G58" s="21"/>
    </row>
    <row r="59" spans="1:7" x14ac:dyDescent="0.25">
      <c r="A59" s="62">
        <v>5174</v>
      </c>
      <c r="B59" s="29"/>
      <c r="C59" s="36"/>
      <c r="D59" s="31"/>
      <c r="E59" s="32"/>
      <c r="F59" s="20"/>
      <c r="G59" s="21"/>
    </row>
    <row r="60" spans="1:7" x14ac:dyDescent="0.25">
      <c r="A60" s="62">
        <v>6174</v>
      </c>
      <c r="B60" s="29"/>
      <c r="C60" s="36"/>
      <c r="D60" s="31"/>
      <c r="E60" s="32"/>
      <c r="F60" s="20"/>
      <c r="G60" s="21"/>
    </row>
    <row r="61" spans="1:7" x14ac:dyDescent="0.25">
      <c r="A61" s="62">
        <v>7174</v>
      </c>
      <c r="B61" s="29"/>
      <c r="C61" s="36"/>
      <c r="D61" s="31"/>
      <c r="E61" s="32"/>
      <c r="F61" s="20"/>
      <c r="G61" s="21"/>
    </row>
    <row r="62" spans="1:7" ht="15.75" thickBot="1" x14ac:dyDescent="0.3">
      <c r="A62" s="63">
        <v>8174</v>
      </c>
      <c r="B62" s="44"/>
      <c r="C62" s="53"/>
      <c r="D62" s="46"/>
      <c r="E62" s="47"/>
      <c r="F62" s="51"/>
      <c r="G62" s="52"/>
    </row>
    <row r="63" spans="1:7" ht="15.75" thickBot="1" x14ac:dyDescent="0.3"/>
    <row r="64" spans="1:7" ht="15.75" thickBot="1" x14ac:dyDescent="0.3">
      <c r="A64" s="74" t="s">
        <v>7</v>
      </c>
      <c r="B64" s="75"/>
      <c r="C64" s="75"/>
      <c r="D64" s="76"/>
      <c r="E64" s="77">
        <f>SUM(E66:E71)</f>
        <v>0</v>
      </c>
      <c r="F64" s="78"/>
      <c r="G64" s="79"/>
    </row>
    <row r="65" spans="1:7" ht="15.75" thickBot="1" x14ac:dyDescent="0.3">
      <c r="A65" s="64" t="s">
        <v>12</v>
      </c>
      <c r="B65" s="65" t="s">
        <v>13</v>
      </c>
      <c r="C65" s="65" t="s">
        <v>14</v>
      </c>
      <c r="D65" s="65" t="s">
        <v>15</v>
      </c>
      <c r="E65" s="4" t="s">
        <v>16</v>
      </c>
      <c r="F65" s="5" t="s">
        <v>17</v>
      </c>
      <c r="G65" s="5" t="s">
        <v>18</v>
      </c>
    </row>
    <row r="66" spans="1:7" x14ac:dyDescent="0.25">
      <c r="A66" s="61">
        <v>4174</v>
      </c>
      <c r="B66" s="10"/>
      <c r="C66" s="11"/>
      <c r="D66" s="12"/>
      <c r="E66" s="13"/>
      <c r="F66" s="14"/>
      <c r="G66" s="15"/>
    </row>
    <row r="67" spans="1:7" x14ac:dyDescent="0.25">
      <c r="A67" s="62">
        <v>4233417112</v>
      </c>
      <c r="B67" s="29"/>
      <c r="C67" s="30"/>
      <c r="D67" s="31"/>
      <c r="E67" s="32"/>
      <c r="F67" s="33"/>
      <c r="G67" s="34"/>
    </row>
    <row r="68" spans="1:7" x14ac:dyDescent="0.25">
      <c r="A68" s="62">
        <v>5174</v>
      </c>
      <c r="B68" s="29"/>
      <c r="C68" s="30"/>
      <c r="D68" s="31"/>
      <c r="E68" s="32"/>
      <c r="F68" s="33"/>
      <c r="G68" s="34"/>
    </row>
    <row r="69" spans="1:7" x14ac:dyDescent="0.25">
      <c r="A69" s="62">
        <v>6174</v>
      </c>
      <c r="B69" s="29"/>
      <c r="C69" s="42"/>
      <c r="D69" s="31"/>
      <c r="E69" s="32"/>
      <c r="F69" s="33"/>
      <c r="G69" s="34"/>
    </row>
    <row r="70" spans="1:7" x14ac:dyDescent="0.25">
      <c r="A70" s="62">
        <v>7174</v>
      </c>
      <c r="B70" s="29"/>
      <c r="C70" s="35"/>
      <c r="D70" s="31"/>
      <c r="E70" s="32"/>
      <c r="F70" s="33"/>
      <c r="G70" s="34"/>
    </row>
    <row r="71" spans="1:7" ht="15.75" thickBot="1" x14ac:dyDescent="0.3">
      <c r="A71" s="63">
        <v>8174</v>
      </c>
      <c r="B71" s="44"/>
      <c r="C71" s="50"/>
      <c r="D71" s="46"/>
      <c r="E71" s="47"/>
      <c r="F71" s="48"/>
      <c r="G71" s="49"/>
    </row>
    <row r="72" spans="1:7" ht="15.75" thickBot="1" x14ac:dyDescent="0.3"/>
    <row r="73" spans="1:7" ht="15.75" thickBot="1" x14ac:dyDescent="0.3">
      <c r="A73" s="74" t="s">
        <v>8</v>
      </c>
      <c r="B73" s="75"/>
      <c r="C73" s="75"/>
      <c r="D73" s="76"/>
      <c r="E73" s="68">
        <f>SUM(E75:E80)</f>
        <v>0</v>
      </c>
      <c r="F73" s="69"/>
      <c r="G73" s="70"/>
    </row>
    <row r="74" spans="1:7" ht="15.75" thickBot="1" x14ac:dyDescent="0.3">
      <c r="A74" s="64" t="s">
        <v>12</v>
      </c>
      <c r="B74" s="65" t="s">
        <v>13</v>
      </c>
      <c r="C74" s="65" t="s">
        <v>14</v>
      </c>
      <c r="D74" s="65" t="s">
        <v>15</v>
      </c>
      <c r="E74" s="4" t="s">
        <v>16</v>
      </c>
      <c r="F74" s="5" t="s">
        <v>17</v>
      </c>
      <c r="G74" s="5" t="s">
        <v>18</v>
      </c>
    </row>
    <row r="75" spans="1:7" x14ac:dyDescent="0.25">
      <c r="A75" s="61">
        <v>4174</v>
      </c>
      <c r="B75" s="10"/>
      <c r="C75" s="11"/>
      <c r="D75" s="12"/>
      <c r="E75" s="13"/>
      <c r="F75" s="23"/>
      <c r="G75" s="24"/>
    </row>
    <row r="76" spans="1:7" x14ac:dyDescent="0.25">
      <c r="A76" s="62">
        <v>4233417112</v>
      </c>
      <c r="B76" s="29"/>
      <c r="C76" s="30"/>
      <c r="D76" s="31"/>
      <c r="E76" s="32"/>
      <c r="F76" s="37"/>
      <c r="G76" s="38"/>
    </row>
    <row r="77" spans="1:7" x14ac:dyDescent="0.25">
      <c r="A77" s="62">
        <v>5174</v>
      </c>
      <c r="B77" s="29"/>
      <c r="C77" s="30"/>
      <c r="D77" s="31"/>
      <c r="E77" s="32"/>
      <c r="F77" s="37"/>
      <c r="G77" s="38"/>
    </row>
    <row r="78" spans="1:7" x14ac:dyDescent="0.25">
      <c r="A78" s="62">
        <v>6174</v>
      </c>
      <c r="B78" s="29"/>
      <c r="C78" s="42"/>
      <c r="D78" s="31"/>
      <c r="E78" s="32"/>
      <c r="F78" s="37"/>
      <c r="G78" s="38"/>
    </row>
    <row r="79" spans="1:7" x14ac:dyDescent="0.25">
      <c r="A79" s="62">
        <v>7174</v>
      </c>
      <c r="B79" s="29"/>
      <c r="C79" s="35"/>
      <c r="D79" s="31"/>
      <c r="E79" s="32"/>
      <c r="F79" s="37"/>
      <c r="G79" s="38"/>
    </row>
    <row r="80" spans="1:7" ht="15.75" thickBot="1" x14ac:dyDescent="0.3">
      <c r="A80" s="63">
        <v>8174</v>
      </c>
      <c r="B80" s="44"/>
      <c r="C80" s="50"/>
      <c r="D80" s="46"/>
      <c r="E80" s="47"/>
      <c r="F80" s="54"/>
      <c r="G80" s="55"/>
    </row>
    <row r="81" spans="1:7" ht="15.75" thickBot="1" x14ac:dyDescent="0.3"/>
    <row r="82" spans="1:7" ht="15.75" thickBot="1" x14ac:dyDescent="0.3">
      <c r="A82" s="74" t="s">
        <v>9</v>
      </c>
      <c r="B82" s="75"/>
      <c r="C82" s="75"/>
      <c r="D82" s="76"/>
      <c r="E82" s="68">
        <f>SUM(E84:E89)</f>
        <v>0</v>
      </c>
      <c r="F82" s="69"/>
      <c r="G82" s="70"/>
    </row>
    <row r="83" spans="1:7" ht="15.75" thickBot="1" x14ac:dyDescent="0.3">
      <c r="A83" s="64" t="s">
        <v>12</v>
      </c>
      <c r="B83" s="66" t="s">
        <v>13</v>
      </c>
      <c r="C83" s="66" t="s">
        <v>14</v>
      </c>
      <c r="D83" s="66" t="s">
        <v>15</v>
      </c>
      <c r="E83" s="7" t="s">
        <v>16</v>
      </c>
      <c r="F83" s="8" t="s">
        <v>17</v>
      </c>
      <c r="G83" s="8" t="s">
        <v>18</v>
      </c>
    </row>
    <row r="84" spans="1:7" x14ac:dyDescent="0.25">
      <c r="A84" s="61">
        <v>4174</v>
      </c>
      <c r="B84" s="16"/>
      <c r="C84" s="17"/>
      <c r="D84" s="18"/>
      <c r="E84" s="19"/>
      <c r="F84" s="25"/>
      <c r="G84" s="26"/>
    </row>
    <row r="85" spans="1:7" x14ac:dyDescent="0.25">
      <c r="A85" s="62">
        <v>4233417112</v>
      </c>
      <c r="B85" s="29"/>
      <c r="C85" s="35"/>
      <c r="D85" s="31"/>
      <c r="E85" s="32"/>
      <c r="F85" s="25"/>
      <c r="G85" s="26"/>
    </row>
    <row r="86" spans="1:7" x14ac:dyDescent="0.25">
      <c r="A86" s="62">
        <v>5174</v>
      </c>
      <c r="B86" s="29"/>
      <c r="C86" s="30"/>
      <c r="D86" s="31"/>
      <c r="E86" s="32"/>
      <c r="F86" s="25"/>
      <c r="G86" s="26"/>
    </row>
    <row r="87" spans="1:7" x14ac:dyDescent="0.25">
      <c r="A87" s="62">
        <v>6174</v>
      </c>
      <c r="B87" s="29"/>
      <c r="C87" s="30"/>
      <c r="D87" s="31"/>
      <c r="E87" s="32"/>
      <c r="F87" s="25"/>
      <c r="G87" s="26"/>
    </row>
    <row r="88" spans="1:7" x14ac:dyDescent="0.25">
      <c r="A88" s="62">
        <v>7174</v>
      </c>
      <c r="B88" s="29"/>
      <c r="C88" s="35"/>
      <c r="D88" s="31"/>
      <c r="E88" s="32"/>
      <c r="F88" s="25"/>
      <c r="G88" s="26"/>
    </row>
    <row r="89" spans="1:7" ht="15.75" thickBot="1" x14ac:dyDescent="0.3">
      <c r="A89" s="63">
        <v>8174</v>
      </c>
      <c r="B89" s="44"/>
      <c r="C89" s="50"/>
      <c r="D89" s="46"/>
      <c r="E89" s="47"/>
      <c r="F89" s="58"/>
      <c r="G89" s="59"/>
    </row>
    <row r="90" spans="1:7" ht="15.75" thickBot="1" x14ac:dyDescent="0.3"/>
    <row r="91" spans="1:7" ht="15.75" thickBot="1" x14ac:dyDescent="0.3">
      <c r="A91" s="74" t="s">
        <v>10</v>
      </c>
      <c r="B91" s="75"/>
      <c r="C91" s="75"/>
      <c r="D91" s="76"/>
      <c r="E91" s="68">
        <f>SUM(E93:E98)</f>
        <v>0</v>
      </c>
      <c r="F91" s="69"/>
      <c r="G91" s="70"/>
    </row>
    <row r="92" spans="1:7" ht="15.75" thickBot="1" x14ac:dyDescent="0.3">
      <c r="A92" s="64" t="s">
        <v>12</v>
      </c>
      <c r="B92" s="65" t="s">
        <v>13</v>
      </c>
      <c r="C92" s="65" t="s">
        <v>14</v>
      </c>
      <c r="D92" s="65" t="s">
        <v>15</v>
      </c>
      <c r="E92" s="4" t="s">
        <v>16</v>
      </c>
      <c r="F92" s="5" t="s">
        <v>17</v>
      </c>
      <c r="G92" s="5" t="s">
        <v>18</v>
      </c>
    </row>
    <row r="93" spans="1:7" x14ac:dyDescent="0.25">
      <c r="A93" s="61">
        <v>4174</v>
      </c>
      <c r="B93" s="27"/>
      <c r="C93" s="11"/>
      <c r="D93" s="12"/>
      <c r="E93" s="13"/>
      <c r="F93" s="23"/>
      <c r="G93" s="24"/>
    </row>
    <row r="94" spans="1:7" x14ac:dyDescent="0.25">
      <c r="A94" s="62">
        <v>4233417112</v>
      </c>
      <c r="B94" s="39"/>
      <c r="C94" s="35"/>
      <c r="D94" s="31"/>
      <c r="E94" s="32"/>
      <c r="F94" s="25"/>
      <c r="G94" s="26"/>
    </row>
    <row r="95" spans="1:7" x14ac:dyDescent="0.25">
      <c r="A95" s="62">
        <v>5174</v>
      </c>
      <c r="B95" s="40"/>
      <c r="C95" s="41"/>
      <c r="D95" s="31"/>
      <c r="E95" s="32"/>
      <c r="F95" s="25"/>
      <c r="G95" s="26"/>
    </row>
    <row r="96" spans="1:7" x14ac:dyDescent="0.25">
      <c r="A96" s="62">
        <v>6174</v>
      </c>
      <c r="B96" s="39"/>
      <c r="C96" s="41"/>
      <c r="D96" s="31"/>
      <c r="E96" s="32"/>
      <c r="F96" s="25"/>
      <c r="G96" s="26"/>
    </row>
    <row r="97" spans="1:7" x14ac:dyDescent="0.25">
      <c r="A97" s="62">
        <v>7174</v>
      </c>
      <c r="B97" s="39"/>
      <c r="C97" s="30"/>
      <c r="D97" s="31"/>
      <c r="E97" s="32"/>
      <c r="F97" s="25"/>
      <c r="G97" s="26"/>
    </row>
    <row r="98" spans="1:7" ht="15.75" thickBot="1" x14ac:dyDescent="0.3">
      <c r="A98" s="63">
        <v>8174</v>
      </c>
      <c r="B98" s="56"/>
      <c r="C98" s="57"/>
      <c r="D98" s="46"/>
      <c r="E98" s="47"/>
      <c r="F98" s="58"/>
      <c r="G98" s="59"/>
    </row>
    <row r="99" spans="1:7" ht="15.75" thickBot="1" x14ac:dyDescent="0.3"/>
    <row r="100" spans="1:7" ht="15.75" thickBot="1" x14ac:dyDescent="0.3">
      <c r="A100" s="74" t="s">
        <v>11</v>
      </c>
      <c r="B100" s="75"/>
      <c r="C100" s="75"/>
      <c r="D100" s="76"/>
      <c r="E100" s="68">
        <f>SUM(E102:E107)</f>
        <v>0</v>
      </c>
      <c r="F100" s="69"/>
      <c r="G100" s="70"/>
    </row>
    <row r="101" spans="1:7" ht="15.75" thickBot="1" x14ac:dyDescent="0.3">
      <c r="A101" s="64" t="s">
        <v>12</v>
      </c>
      <c r="B101" s="66" t="s">
        <v>13</v>
      </c>
      <c r="C101" s="66" t="s">
        <v>14</v>
      </c>
      <c r="D101" s="66" t="s">
        <v>15</v>
      </c>
      <c r="E101" s="7" t="s">
        <v>16</v>
      </c>
      <c r="F101" s="8" t="s">
        <v>17</v>
      </c>
      <c r="G101" s="8" t="s">
        <v>18</v>
      </c>
    </row>
    <row r="102" spans="1:7" x14ac:dyDescent="0.25">
      <c r="A102" s="61">
        <v>4174</v>
      </c>
      <c r="B102" s="10"/>
      <c r="C102" s="11"/>
      <c r="D102" s="12"/>
      <c r="E102" s="13"/>
      <c r="F102" s="23"/>
      <c r="G102" s="24"/>
    </row>
    <row r="103" spans="1:7" x14ac:dyDescent="0.25">
      <c r="A103" s="62">
        <v>4233417112</v>
      </c>
      <c r="B103" s="29"/>
      <c r="C103" s="30"/>
      <c r="D103" s="31"/>
      <c r="E103" s="32"/>
      <c r="F103" s="25"/>
      <c r="G103" s="26"/>
    </row>
    <row r="104" spans="1:7" x14ac:dyDescent="0.25">
      <c r="A104" s="62">
        <v>5174</v>
      </c>
      <c r="B104" s="29"/>
      <c r="C104" s="30"/>
      <c r="D104" s="31"/>
      <c r="E104" s="32"/>
      <c r="F104" s="25"/>
      <c r="G104" s="26"/>
    </row>
    <row r="105" spans="1:7" x14ac:dyDescent="0.25">
      <c r="A105" s="62">
        <v>6174</v>
      </c>
      <c r="B105" s="29"/>
      <c r="C105" s="42"/>
      <c r="D105" s="31"/>
      <c r="E105" s="32"/>
      <c r="F105" s="25"/>
      <c r="G105" s="26"/>
    </row>
    <row r="106" spans="1:7" x14ac:dyDescent="0.25">
      <c r="A106" s="62">
        <v>7174</v>
      </c>
      <c r="B106" s="29"/>
      <c r="C106" s="35"/>
      <c r="D106" s="31"/>
      <c r="E106" s="32"/>
      <c r="F106" s="25"/>
      <c r="G106" s="26"/>
    </row>
    <row r="107" spans="1:7" ht="15.75" thickBot="1" x14ac:dyDescent="0.3">
      <c r="A107" s="63">
        <v>8174</v>
      </c>
      <c r="B107" s="44"/>
      <c r="C107" s="50"/>
      <c r="D107" s="46"/>
      <c r="E107" s="47"/>
      <c r="F107" s="58"/>
      <c r="G107" s="59"/>
    </row>
  </sheetData>
  <mergeCells count="24">
    <mergeCell ref="A82:D82"/>
    <mergeCell ref="E82:G82"/>
    <mergeCell ref="A91:D91"/>
    <mergeCell ref="E91:G91"/>
    <mergeCell ref="A100:D100"/>
    <mergeCell ref="E100:G100"/>
    <mergeCell ref="A55:D55"/>
    <mergeCell ref="E55:G55"/>
    <mergeCell ref="A64:D64"/>
    <mergeCell ref="E64:G64"/>
    <mergeCell ref="A73:D73"/>
    <mergeCell ref="E73:G73"/>
    <mergeCell ref="A28:D28"/>
    <mergeCell ref="E28:G28"/>
    <mergeCell ref="A37:D37"/>
    <mergeCell ref="E37:G37"/>
    <mergeCell ref="A46:D46"/>
    <mergeCell ref="E46:G46"/>
    <mergeCell ref="A1:D1"/>
    <mergeCell ref="E1:G1"/>
    <mergeCell ref="A10:D10"/>
    <mergeCell ref="E10:G10"/>
    <mergeCell ref="A19:D19"/>
    <mergeCell ref="E19:G19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2026-01-13T12:48:08Z</dcterms:modified>
</cp:coreProperties>
</file>